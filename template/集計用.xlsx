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</numFmts>
  <fonts count="3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187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inlineStr">
        <is>
          <t>【振込金額照合（税抜⇔税込の二重計算）】</t>
        </is>
      </c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inlineStr">
        <is>
          <t>① 振込金額（税込・実際に振り込まれた額）</t>
        </is>
      </c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inlineStr">
        <is>
          <t>② 税込相殺（PDF・手入力）</t>
        </is>
      </c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70" t="inlineStr">
        <is>
          <t>③ 税込工事代計（① − ②）</t>
        </is>
      </c>
      <c r="C37" s="93" t="n"/>
      <c r="D37" s="181">
        <f>D35-D36</f>
        <v/>
      </c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④ 税抜逆算（③ ÷ 1.1）</t>
        </is>
      </c>
      <c r="C38" s="93" t="n"/>
      <c r="D38" s="181">
        <f>ROUND(D37/1.1,0)</f>
        <v/>
      </c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⑤ Excel税抜合計（J24）</t>
        </is>
      </c>
      <c r="C39" s="93" t="n"/>
      <c r="D39" s="181">
        <f>J24</f>
        <v/>
      </c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⑥ 差額（⑤ − ④）</t>
        </is>
      </c>
      <c r="C40" s="93" t="n"/>
      <c r="D40" s="186">
        <f>D39-D38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※ ±数円→インボイス端数差(正常) / 大きな差→PDF読取エラーの可能性</t>
        </is>
      </c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n"/>
      <c r="C42" s="93" t="n"/>
      <c r="D42" s="93" t="n"/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2026-04-23T14:09:32Z</dcterms:modified>
  <cp:lastModifiedBy>山本　悠菜</cp:lastModifiedBy>
  <cp:revision>0</cp:revision>
  <cp:lastPrinted>2026-04-19T09:57:29Z</cp:lastPrinted>
</cp:coreProperties>
</file>