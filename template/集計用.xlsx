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</numFmts>
  <fonts count="4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</fonts>
  <fills count="1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</fills>
  <borders count="1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1">
    <xf numFmtId="0" fontId="0" fillId="0" borderId="4"/>
  </cellStyleXfs>
  <cellXfs count="3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2" borderId="4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right" vertical="center"/>
    </xf>
    <xf numFmtId="167" fontId="28" fillId="0" borderId="20" applyAlignment="1" pivotButton="0" quotePrefix="0" xfId="0">
      <alignment horizontal="right"/>
    </xf>
    <xf numFmtId="0" fontId="2" fillId="0" borderId="84" applyAlignment="1" pivotButton="0" quotePrefix="0" xfId="0">
      <alignment horizontal="left" vertical="top" wrapText="1"/>
    </xf>
    <xf numFmtId="165" fontId="2" fillId="3" borderId="14" applyAlignment="1" pivotButton="0" quotePrefix="0" xfId="0">
      <alignment horizontal="center" vertical="center" shrinkToFit="1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  <xf numFmtId="165" fontId="2" fillId="3" borderId="19" applyAlignment="1" pivotButton="0" quotePrefix="0" xfId="0">
      <alignment horizontal="center" vertical="center" shrinkToFi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C8" sqref="C8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2025年1月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6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20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3" t="inlineStr">
        <is>
          <t>⑤外注　小林</t>
        </is>
      </c>
      <c r="I4" s="243" t="inlineStr">
        <is>
          <t>⑥外注　南</t>
        </is>
      </c>
      <c r="J4" s="70" t="inlineStr">
        <is>
          <t>⑦粗利益</t>
        </is>
      </c>
      <c r="K4" s="227" t="inlineStr">
        <is>
          <t>班　長</t>
        </is>
      </c>
      <c r="L4" s="228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244" t="n"/>
      <c r="D5" s="75" t="n"/>
      <c r="E5" s="212" t="n"/>
      <c r="F5" s="216" t="n"/>
      <c r="G5" s="132" t="n"/>
      <c r="H5" s="209" t="n"/>
      <c r="I5" s="210" t="n"/>
      <c r="J5" s="129" t="n"/>
      <c r="K5" s="80" t="n"/>
      <c r="L5" s="245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214" t="n"/>
      <c r="D6" s="84" t="n"/>
      <c r="E6" s="212" t="n"/>
      <c r="F6" s="213" t="n"/>
      <c r="G6" s="132" t="n"/>
      <c r="H6" s="209" t="n"/>
      <c r="I6" s="210" t="n"/>
      <c r="J6" s="129" t="n"/>
      <c r="K6" s="89" t="n"/>
      <c r="L6" s="245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106" t="n"/>
      <c r="D7" s="75" t="n"/>
      <c r="E7" s="215" t="n"/>
      <c r="F7" s="216" t="n"/>
      <c r="G7" s="78" t="n"/>
      <c r="H7" s="229" t="n"/>
      <c r="I7" s="217" t="n"/>
      <c r="J7" s="75" t="n"/>
      <c r="K7" s="104" t="n"/>
      <c r="L7" s="175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97" t="n"/>
      <c r="C8" s="49" t="n"/>
      <c r="D8" s="99" t="n"/>
      <c r="E8" s="235" t="n"/>
      <c r="F8" s="236" t="n"/>
      <c r="G8" s="102" t="n"/>
      <c r="H8" s="237" t="n"/>
      <c r="I8" s="238" t="n"/>
      <c r="J8" s="84" t="n"/>
      <c r="K8" s="89" t="n"/>
      <c r="L8" s="246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5" t="n"/>
      <c r="D9" s="75" t="n"/>
      <c r="E9" s="215" t="n"/>
      <c r="F9" s="216" t="n"/>
      <c r="G9" s="78" t="n"/>
      <c r="H9" s="229" t="n"/>
      <c r="I9" s="217" t="n"/>
      <c r="J9" s="129" t="n"/>
      <c r="K9" s="80" t="n"/>
      <c r="L9" s="175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127" t="n"/>
      <c r="C10" s="91" t="n"/>
      <c r="D10" s="129" t="n"/>
      <c r="E10" s="212" t="n"/>
      <c r="F10" s="213" t="n"/>
      <c r="G10" s="132" t="n"/>
      <c r="H10" s="209" t="n"/>
      <c r="I10" s="210" t="n"/>
      <c r="J10" s="129" t="n"/>
      <c r="K10" s="104" t="n"/>
      <c r="L10" s="245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127" t="n"/>
      <c r="C11" s="244" t="n"/>
      <c r="D11" s="129" t="n"/>
      <c r="E11" s="212" t="n"/>
      <c r="F11" s="213" t="n"/>
      <c r="G11" s="132" t="n"/>
      <c r="H11" s="209" t="n"/>
      <c r="I11" s="210" t="n"/>
      <c r="J11" s="129" t="n"/>
      <c r="K11" s="104" t="n"/>
      <c r="L11" s="245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127" t="n"/>
      <c r="C12" s="244" t="n"/>
      <c r="D12" s="129" t="n"/>
      <c r="E12" s="212" t="n"/>
      <c r="F12" s="213" t="n"/>
      <c r="G12" s="132" t="n"/>
      <c r="H12" s="209" t="n"/>
      <c r="I12" s="210" t="n"/>
      <c r="J12" s="129" t="n"/>
      <c r="K12" s="89" t="n"/>
      <c r="L12" s="245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127" t="n"/>
      <c r="C13" s="247" t="n"/>
      <c r="D13" s="129" t="n"/>
      <c r="E13" s="212" t="n"/>
      <c r="F13" s="213" t="n"/>
      <c r="G13" s="132" t="n"/>
      <c r="H13" s="209" t="n"/>
      <c r="I13" s="210" t="n"/>
      <c r="J13" s="129" t="n"/>
      <c r="K13" s="104" t="n"/>
      <c r="L13" s="175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127" t="n"/>
      <c r="C14" s="214" t="n"/>
      <c r="D14" s="129" t="n"/>
      <c r="E14" s="212" t="n"/>
      <c r="F14" s="213" t="n"/>
      <c r="G14" s="132" t="n"/>
      <c r="H14" s="209" t="n"/>
      <c r="I14" s="210" t="n"/>
      <c r="J14" s="129" t="n"/>
      <c r="K14" s="80" t="n"/>
      <c r="L14" s="245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5" t="n"/>
      <c r="D15" s="75" t="n"/>
      <c r="E15" s="215" t="n"/>
      <c r="F15" s="216" t="n"/>
      <c r="G15" s="78" t="n"/>
      <c r="H15" s="229" t="n"/>
      <c r="I15" s="210" t="n"/>
      <c r="J15" s="75" t="n"/>
      <c r="K15" s="80" t="n"/>
      <c r="L15" s="175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82" t="n"/>
      <c r="C16" s="83" t="n"/>
      <c r="D16" s="84" t="n"/>
      <c r="E16" s="218" t="n"/>
      <c r="F16" s="219" t="n"/>
      <c r="G16" s="87" t="n"/>
      <c r="H16" s="248" t="n"/>
      <c r="I16" s="210" t="n"/>
      <c r="J16" s="84" t="n"/>
      <c r="K16" s="89" t="n"/>
      <c r="L16" s="249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127" t="n"/>
      <c r="C17" s="91" t="n"/>
      <c r="D17" s="129" t="n"/>
      <c r="E17" s="212" t="n"/>
      <c r="F17" s="213" t="n"/>
      <c r="G17" s="132" t="n"/>
      <c r="H17" s="209" t="n"/>
      <c r="I17" s="210" t="n"/>
      <c r="J17" s="129" t="n"/>
      <c r="K17" s="89" t="n"/>
      <c r="L17" s="245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250" t="n"/>
      <c r="D18" s="75" t="n"/>
      <c r="E18" s="215" t="n"/>
      <c r="F18" s="216" t="n"/>
      <c r="G18" s="78" t="n"/>
      <c r="H18" s="229" t="n"/>
      <c r="I18" s="217" t="n"/>
      <c r="J18" s="75" t="n"/>
      <c r="K18" s="89" t="n"/>
      <c r="L18" s="175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97" t="n"/>
      <c r="C19" s="91" t="n"/>
      <c r="D19" s="99" t="n"/>
      <c r="E19" s="218" t="n"/>
      <c r="F19" s="219" t="n"/>
      <c r="G19" s="87" t="n"/>
      <c r="H19" s="248" t="n"/>
      <c r="I19" s="251" t="n"/>
      <c r="J19" s="84" t="n"/>
      <c r="K19" s="89" t="n"/>
      <c r="L19" s="249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252" t="n"/>
      <c r="D20" s="129" t="n"/>
      <c r="E20" s="212" t="n"/>
      <c r="F20" s="213" t="n"/>
      <c r="G20" s="132" t="n"/>
      <c r="H20" s="209" t="n"/>
      <c r="I20" s="210" t="n"/>
      <c r="J20" s="129" t="n"/>
      <c r="K20" s="253" t="n"/>
      <c r="L20" s="245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19</v>
      </c>
      <c r="B21" s="73" t="n"/>
      <c r="C21" s="254" t="n"/>
      <c r="D21" s="255" t="n"/>
      <c r="E21" s="215" t="n"/>
      <c r="F21" s="216" t="n"/>
      <c r="G21" s="256" t="n"/>
      <c r="H21" s="257" t="n"/>
      <c r="I21" s="217" t="n"/>
      <c r="J21" s="255" t="n"/>
      <c r="K21" s="258" t="n"/>
      <c r="L21" s="245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/>
      <c r="B22" s="108" t="n"/>
      <c r="C22" s="239" t="n"/>
      <c r="D22" s="239">
        <f>SUM(D5:D21)</f>
        <v/>
      </c>
      <c r="E22" s="110">
        <f>SUM(E5:E21)</f>
        <v/>
      </c>
      <c r="F22" s="111">
        <f>SUM(F5:F21)</f>
        <v/>
      </c>
      <c r="G22" s="110">
        <f>SUM(G5:G21)</f>
        <v/>
      </c>
      <c r="H22" s="110">
        <f>SUM(H5:H21)</f>
        <v/>
      </c>
      <c r="I22" s="110">
        <f>SUM(I5:I21)</f>
        <v/>
      </c>
      <c r="J22" s="240">
        <f>SUM(J5:J21)</f>
        <v/>
      </c>
      <c r="K22" s="113" t="n"/>
      <c r="L22" s="24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/>
      <c r="B23" s="7" t="n"/>
      <c r="C23" s="337" t="n"/>
      <c r="E23" s="338" t="n"/>
      <c r="I23" s="242">
        <f>SUM(E5:I21)</f>
        <v/>
      </c>
      <c r="J23" s="116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4.75" customHeight="1" s="335">
      <c r="A24" s="7" t="n"/>
      <c r="B24" s="7" t="n"/>
      <c r="C24" s="10" t="n"/>
      <c r="D24" s="10" t="n"/>
      <c r="E24" s="339">
        <f>SUM(E22:F22)</f>
        <v/>
      </c>
      <c r="G24" s="41" t="n"/>
      <c r="H24" s="41" t="n"/>
      <c r="I24" s="117" t="n"/>
      <c r="J24" s="118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4.75" customHeight="1" s="335">
      <c r="A25" s="7" t="n"/>
      <c r="B25" s="7" t="n"/>
      <c r="C25" s="10" t="n"/>
      <c r="D25" s="10" t="n"/>
      <c r="G25" s="41" t="n"/>
      <c r="H25" s="41" t="n"/>
      <c r="I25" s="117" t="n"/>
      <c r="J25" s="118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/>
      <c r="B26" s="7" t="n"/>
      <c r="C26" s="119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/>
      <c r="B27" s="340" t="n"/>
      <c r="K27" s="158" t="n"/>
      <c r="L27" s="158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/>
      <c r="K28" s="158" t="n"/>
      <c r="L28" s="158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/>
      <c r="K29" s="158" t="n"/>
      <c r="L29" s="158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/>
      <c r="K30" s="121" t="n"/>
      <c r="L30" s="38">
        <f>SUM(J7,J10,J11,J13)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K31" s="122" t="n"/>
      <c r="L31" s="38">
        <f>SUM(J6,J8,J12,J16)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K32" s="123" t="inlineStr">
        <is>
          <t>安保</t>
        </is>
      </c>
      <c r="L32" s="38">
        <f>SUM(J5,J9,J14,J15)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K33" s="341" t="n">
        <v>0</v>
      </c>
      <c r="L33" s="38" t="n">
        <v>0</v>
      </c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7" customHeight="1" s="33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1.75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1.75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1.75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D7" sqref="D7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2025年2月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6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20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226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6" t="n"/>
      <c r="I4" s="163" t="inlineStr">
        <is>
          <t>⑥外注　南、吾</t>
        </is>
      </c>
      <c r="J4" s="70" t="inlineStr">
        <is>
          <t>⑦粗利益</t>
        </is>
      </c>
      <c r="K4" s="227" t="inlineStr">
        <is>
          <t>班　長</t>
        </is>
      </c>
      <c r="L4" s="228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215" t="n"/>
      <c r="F5" s="216" t="n"/>
      <c r="G5" s="132" t="n"/>
      <c r="H5" s="209" t="n"/>
      <c r="I5" s="210" t="n"/>
      <c r="J5" s="129" t="n"/>
      <c r="K5" s="104" t="n"/>
      <c r="L5" s="134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212" t="n"/>
      <c r="F6" s="213" t="n"/>
      <c r="G6" s="132" t="n"/>
      <c r="H6" s="209" t="n"/>
      <c r="I6" s="210" t="n"/>
      <c r="J6" s="129" t="n"/>
      <c r="K6" s="80" t="n"/>
      <c r="L6" s="134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214" t="n"/>
      <c r="D7" s="75" t="n"/>
      <c r="E7" s="215" t="n"/>
      <c r="F7" s="216" t="n"/>
      <c r="G7" s="78" t="n"/>
      <c r="H7" s="229" t="n"/>
      <c r="I7" s="217" t="n"/>
      <c r="J7" s="75" t="n"/>
      <c r="K7" s="89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73" t="n"/>
      <c r="C8" s="91" t="n"/>
      <c r="D8" s="75" t="n"/>
      <c r="E8" s="215" t="n"/>
      <c r="F8" s="216" t="n"/>
      <c r="G8" s="78" t="n"/>
      <c r="H8" s="229" t="n"/>
      <c r="I8" s="217" t="n"/>
      <c r="J8" s="75" t="n"/>
      <c r="K8" s="104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1" t="n"/>
      <c r="D9" s="75" t="n"/>
      <c r="E9" s="215" t="n"/>
      <c r="F9" s="216" t="n"/>
      <c r="G9" s="78" t="n"/>
      <c r="H9" s="229" t="n"/>
      <c r="I9" s="217" t="n"/>
      <c r="J9" s="75" t="n"/>
      <c r="K9" s="230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1" t="n"/>
      <c r="D10" s="75" t="n"/>
      <c r="E10" s="215" t="n"/>
      <c r="F10" s="216" t="n"/>
      <c r="G10" s="78" t="n"/>
      <c r="H10" s="229" t="n"/>
      <c r="I10" s="217" t="n"/>
      <c r="J10" s="75" t="n"/>
      <c r="K10" s="104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215" t="n"/>
      <c r="F11" s="216" t="n"/>
      <c r="G11" s="78" t="n"/>
      <c r="H11" s="229" t="n"/>
      <c r="I11" s="217" t="n"/>
      <c r="J11" s="75" t="n"/>
      <c r="K11" s="80" t="n"/>
      <c r="L11" s="175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214" t="n"/>
      <c r="D12" s="75" t="n"/>
      <c r="E12" s="215" t="n"/>
      <c r="F12" s="216" t="n"/>
      <c r="G12" s="78" t="n"/>
      <c r="H12" s="229" t="n"/>
      <c r="I12" s="217" t="n"/>
      <c r="J12" s="75" t="n"/>
      <c r="K12" s="80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215" t="n"/>
      <c r="F13" s="216" t="n"/>
      <c r="G13" s="78" t="n"/>
      <c r="H13" s="229" t="n"/>
      <c r="I13" s="217" t="n"/>
      <c r="J13" s="75" t="n"/>
      <c r="K13" s="89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127" t="n"/>
      <c r="C14" s="91" t="n"/>
      <c r="D14" s="129" t="n"/>
      <c r="E14" s="212" t="n"/>
      <c r="F14" s="213" t="n"/>
      <c r="G14" s="132" t="n"/>
      <c r="H14" s="209" t="n"/>
      <c r="I14" s="210" t="n"/>
      <c r="J14" s="129" t="n"/>
      <c r="K14" s="89" t="n"/>
      <c r="L14" s="134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183" t="n">
        <v>11</v>
      </c>
      <c r="B15" s="184" t="n"/>
      <c r="C15" s="185" t="n"/>
      <c r="D15" s="186" t="n"/>
      <c r="E15" s="231" t="n"/>
      <c r="F15" s="232" t="n"/>
      <c r="G15" s="188" t="n"/>
      <c r="H15" s="233" t="n"/>
      <c r="I15" s="234" t="n"/>
      <c r="J15" s="186" t="n"/>
      <c r="K15" s="80" t="n"/>
      <c r="L15" s="192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97" t="n"/>
      <c r="C16" s="83" t="n"/>
      <c r="D16" s="99" t="n"/>
      <c r="E16" s="235" t="n"/>
      <c r="F16" s="236" t="n"/>
      <c r="G16" s="102" t="n"/>
      <c r="H16" s="237" t="n"/>
      <c r="I16" s="238" t="n"/>
      <c r="J16" s="99" t="n"/>
      <c r="K16" s="104" t="n"/>
      <c r="L16" s="90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214" t="n"/>
      <c r="D17" s="75" t="n"/>
      <c r="E17" s="215" t="n"/>
      <c r="F17" s="216" t="n"/>
      <c r="G17" s="78" t="n"/>
      <c r="H17" s="229" t="n"/>
      <c r="I17" s="217" t="n"/>
      <c r="J17" s="75" t="n"/>
      <c r="K17" s="89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215" t="n"/>
      <c r="F18" s="216" t="n"/>
      <c r="G18" s="78" t="n"/>
      <c r="H18" s="229" t="n"/>
      <c r="I18" s="217" t="n"/>
      <c r="J18" s="75" t="n"/>
      <c r="K18" s="104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214" t="n"/>
      <c r="D19" s="75" t="n"/>
      <c r="E19" s="215" t="n"/>
      <c r="F19" s="216" t="n"/>
      <c r="G19" s="78" t="n"/>
      <c r="H19" s="229" t="n"/>
      <c r="I19" s="217" t="n"/>
      <c r="J19" s="75" t="n"/>
      <c r="K19" s="104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215" t="n"/>
      <c r="F20" s="216" t="n"/>
      <c r="G20" s="78" t="n"/>
      <c r="H20" s="229" t="n"/>
      <c r="I20" s="217" t="n"/>
      <c r="J20" s="75" t="n"/>
      <c r="K20" s="80" t="n"/>
      <c r="L20" s="175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13</v>
      </c>
      <c r="B21" s="73" t="n"/>
      <c r="C21" s="214" t="n"/>
      <c r="D21" s="75" t="n"/>
      <c r="E21" s="215" t="n"/>
      <c r="F21" s="216" t="n"/>
      <c r="G21" s="78" t="n"/>
      <c r="H21" s="229" t="n"/>
      <c r="I21" s="217" t="n"/>
      <c r="J21" s="75" t="n"/>
      <c r="K21" s="104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14</v>
      </c>
      <c r="B22" s="73" t="n"/>
      <c r="C22" s="214" t="n"/>
      <c r="D22" s="75" t="n"/>
      <c r="E22" s="215" t="n"/>
      <c r="F22" s="216" t="n"/>
      <c r="G22" s="78" t="n"/>
      <c r="H22" s="229" t="n"/>
      <c r="I22" s="217" t="n"/>
      <c r="J22" s="75" t="n"/>
      <c r="K22" s="89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15</v>
      </c>
      <c r="B23" s="73" t="n"/>
      <c r="C23" s="91" t="n"/>
      <c r="D23" s="75" t="n"/>
      <c r="E23" s="215" t="n"/>
      <c r="F23" s="216" t="n"/>
      <c r="G23" s="78" t="n"/>
      <c r="H23" s="229" t="n"/>
      <c r="I23" s="217" t="n"/>
      <c r="J23" s="75" t="n"/>
      <c r="K23" s="89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16</v>
      </c>
      <c r="B24" s="73" t="n"/>
      <c r="C24" s="91" t="n"/>
      <c r="D24" s="75" t="n"/>
      <c r="E24" s="215" t="n"/>
      <c r="F24" s="216" t="n"/>
      <c r="G24" s="78" t="n"/>
      <c r="H24" s="229" t="n"/>
      <c r="I24" s="217" t="n"/>
      <c r="J24" s="75" t="n"/>
      <c r="K24" s="104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/>
      <c r="B25" s="108" t="n"/>
      <c r="C25" s="239" t="n"/>
      <c r="D25" s="239">
        <f>SUM(D5:D24)</f>
        <v/>
      </c>
      <c r="E25" s="110">
        <f>SUM(E5:E24)</f>
        <v/>
      </c>
      <c r="F25" s="111">
        <f>SUM(F5:F24)</f>
        <v/>
      </c>
      <c r="G25" s="110">
        <f>SUM(G5:G24)</f>
        <v/>
      </c>
      <c r="H25" s="110">
        <f>SUM(H5:H24)</f>
        <v/>
      </c>
      <c r="I25" s="110">
        <f>SUM(I5:I24)</f>
        <v/>
      </c>
      <c r="J25" s="240">
        <f>SUM(J5:J24)</f>
        <v/>
      </c>
      <c r="K25" s="113" t="n"/>
      <c r="L25" s="24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/>
      <c r="B26" s="7" t="n"/>
      <c r="C26" s="337" t="n"/>
      <c r="E26" s="338" t="n"/>
      <c r="I26" s="242">
        <f>SUM(E5:I24)</f>
        <v/>
      </c>
      <c r="J26" s="116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4.75" customHeight="1" s="335">
      <c r="A27" s="7" t="n"/>
      <c r="B27" s="7" t="n"/>
      <c r="C27" s="10" t="n"/>
      <c r="D27" s="10" t="n"/>
      <c r="E27" s="339">
        <f>SUM(E25:F25)</f>
        <v/>
      </c>
      <c r="G27" s="41" t="n"/>
      <c r="H27" s="41" t="n"/>
      <c r="I27" s="117" t="n"/>
      <c r="J27" s="118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4.75" customHeight="1" s="335">
      <c r="A28" s="7" t="n"/>
      <c r="B28" s="7" t="n"/>
      <c r="C28" s="10" t="n"/>
      <c r="D28" s="10" t="n"/>
      <c r="G28" s="41" t="n"/>
      <c r="H28" s="41" t="n"/>
      <c r="I28" s="117" t="n"/>
      <c r="J28" s="118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/>
      <c r="B29" s="7" t="n"/>
      <c r="C29" s="119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/>
      <c r="B30" s="340" t="n"/>
      <c r="K30" s="158" t="n"/>
      <c r="L30" s="158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K31" s="158" t="n"/>
      <c r="L31" s="158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K32" s="158" t="n"/>
      <c r="L32" s="158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K33" s="121" t="inlineStr">
        <is>
          <t>山本</t>
        </is>
      </c>
      <c r="L33" s="38">
        <f>SUM(J5,J8,J10,J16,J18,J19,J21,J24)</f>
        <v/>
      </c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7" customHeight="1" s="335">
      <c r="A34" s="7" t="n"/>
      <c r="K34" s="122" t="inlineStr">
        <is>
          <t>熱田</t>
        </is>
      </c>
      <c r="L34" s="38">
        <f>SUM(J7,J13,J14,J17,J22,J23)</f>
        <v/>
      </c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K35" s="123" t="inlineStr">
        <is>
          <t>安保</t>
        </is>
      </c>
      <c r="L35" s="38">
        <f>SUM(J6,J11,J12,J15,J20)</f>
        <v/>
      </c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K36" s="341" t="n">
        <v>0</v>
      </c>
      <c r="L36" s="38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G8" sqref="G8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2025年3月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6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20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n"/>
      <c r="E4" s="163" t="n"/>
      <c r="F4" s="164" t="n"/>
      <c r="G4" s="165" t="n"/>
      <c r="H4" s="166" t="n"/>
      <c r="I4" s="163" t="n"/>
      <c r="J4" s="70" t="n"/>
      <c r="K4" s="168" t="n"/>
      <c r="L4" s="169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F5" s="208" t="n"/>
      <c r="G5" s="132" t="n"/>
      <c r="H5" s="209" t="n"/>
      <c r="I5" s="210" t="n"/>
      <c r="J5" s="129" t="n"/>
      <c r="K5" s="104" t="n"/>
      <c r="L5" s="211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212" t="n"/>
      <c r="F6" s="213" t="n"/>
      <c r="G6" s="132" t="n"/>
      <c r="H6" s="209" t="n"/>
      <c r="I6" s="210" t="n"/>
      <c r="J6" s="129" t="n"/>
      <c r="K6" s="104" t="n"/>
      <c r="L6" s="211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214" t="n"/>
      <c r="D7" s="75" t="n"/>
      <c r="E7" s="215" t="n"/>
      <c r="F7" s="216" t="n"/>
      <c r="G7" s="78" t="n"/>
      <c r="H7" s="209" t="n"/>
      <c r="I7" s="217" t="n"/>
      <c r="J7" s="75" t="n"/>
      <c r="K7" s="104" t="n"/>
      <c r="L7" s="211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91" t="n"/>
      <c r="D8" s="84" t="n"/>
      <c r="E8" s="218" t="n"/>
      <c r="F8" s="219" t="n"/>
      <c r="G8" s="87" t="n"/>
      <c r="H8" s="209" t="n"/>
      <c r="I8" s="217" t="n"/>
      <c r="J8" s="84" t="n"/>
      <c r="K8" s="89" t="n"/>
      <c r="L8" s="211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220" t="n">
        <v>5</v>
      </c>
      <c r="B9" s="73" t="n"/>
      <c r="C9" s="95" t="n"/>
      <c r="D9" s="75" t="n"/>
      <c r="E9" s="215" t="n"/>
      <c r="F9" s="216" t="n"/>
      <c r="G9" s="78" t="n"/>
      <c r="H9" s="209" t="n"/>
      <c r="I9" s="217" t="n"/>
      <c r="J9" s="75" t="n"/>
      <c r="K9" s="104" t="n"/>
      <c r="L9" s="211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82" t="n"/>
      <c r="C10" s="221" t="n"/>
      <c r="D10" s="84" t="n"/>
      <c r="E10" s="218" t="n"/>
      <c r="F10" s="219" t="n"/>
      <c r="G10" s="87" t="n"/>
      <c r="H10" s="209" t="n"/>
      <c r="I10" s="217" t="n"/>
      <c r="J10" s="84" t="n"/>
      <c r="K10" s="80" t="n"/>
      <c r="L10" s="211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127" t="n"/>
      <c r="C11" s="214" t="n"/>
      <c r="D11" s="129" t="n"/>
      <c r="E11" s="212" t="n"/>
      <c r="F11" s="213" t="n"/>
      <c r="G11" s="132" t="n"/>
      <c r="H11" s="209" t="n"/>
      <c r="I11" s="217" t="n"/>
      <c r="J11" s="129" t="n"/>
      <c r="K11" s="80" t="n"/>
      <c r="L11" s="211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127" t="n"/>
      <c r="C12" s="91" t="n"/>
      <c r="D12" s="129" t="n"/>
      <c r="E12" s="212" t="n"/>
      <c r="F12" s="213" t="n"/>
      <c r="G12" s="132" t="n"/>
      <c r="H12" s="209" t="n"/>
      <c r="I12" s="217" t="n"/>
      <c r="J12" s="129" t="n"/>
      <c r="K12" s="89" t="n"/>
      <c r="L12" s="211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220" t="n">
        <v>9</v>
      </c>
      <c r="B13" s="73" t="n"/>
      <c r="C13" s="95" t="n"/>
      <c r="D13" s="75" t="n"/>
      <c r="E13" s="215" t="n"/>
      <c r="F13" s="216" t="n"/>
      <c r="G13" s="78" t="n"/>
      <c r="H13" s="209" t="n"/>
      <c r="I13" s="217" t="n"/>
      <c r="J13" s="75" t="n"/>
      <c r="K13" s="89" t="n"/>
      <c r="L13" s="211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82" t="n"/>
      <c r="C14" s="95" t="n"/>
      <c r="D14" s="84" t="n"/>
      <c r="E14" s="218" t="n"/>
      <c r="F14" s="219" t="n"/>
      <c r="G14" s="87" t="n"/>
      <c r="H14" s="209" t="n"/>
      <c r="I14" s="217" t="n"/>
      <c r="J14" s="84" t="n"/>
      <c r="K14" s="89" t="n"/>
      <c r="L14" s="211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106" t="n"/>
      <c r="D15" s="75" t="n"/>
      <c r="E15" s="215" t="n"/>
      <c r="F15" s="216" t="n"/>
      <c r="G15" s="78" t="n"/>
      <c r="H15" s="209" t="n"/>
      <c r="I15" s="217" t="n"/>
      <c r="J15" s="75" t="n"/>
      <c r="K15" s="104" t="n"/>
      <c r="L15" s="211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82" t="n"/>
      <c r="C16" s="106" t="n"/>
      <c r="D16" s="84" t="n"/>
      <c r="E16" s="222" t="n"/>
      <c r="F16" s="216" t="n"/>
      <c r="G16" s="87" t="n"/>
      <c r="H16" s="209" t="n"/>
      <c r="I16" s="217" t="n"/>
      <c r="J16" s="84" t="n"/>
      <c r="K16" s="80" t="n"/>
      <c r="L16" s="211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127" t="n"/>
      <c r="C17" s="106" t="n"/>
      <c r="D17" s="129" t="n"/>
      <c r="E17" s="218" t="n"/>
      <c r="F17" s="219" t="n"/>
      <c r="G17" s="132" t="n"/>
      <c r="H17" s="209" t="n"/>
      <c r="I17" s="217" t="n"/>
      <c r="J17" s="129" t="n"/>
      <c r="K17" s="80" t="n"/>
      <c r="L17" s="175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106" t="n"/>
      <c r="D18" s="75" t="n"/>
      <c r="E18" s="215" t="n"/>
      <c r="F18" s="216" t="n"/>
      <c r="G18" s="78" t="n"/>
      <c r="H18" s="209" t="n"/>
      <c r="I18" s="217" t="n"/>
      <c r="J18" s="75" t="n"/>
      <c r="K18" s="104" t="n"/>
      <c r="L18" s="211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82" t="n"/>
      <c r="C19" s="91" t="n"/>
      <c r="D19" s="84" t="n"/>
      <c r="E19" s="218" t="n"/>
      <c r="F19" s="219" t="n"/>
      <c r="G19" s="87" t="n"/>
      <c r="H19" s="209" t="n"/>
      <c r="I19" s="217" t="n"/>
      <c r="J19" s="84" t="n"/>
      <c r="K19" s="89" t="n"/>
      <c r="L19" s="211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5" t="n"/>
      <c r="D20" s="75" t="n"/>
      <c r="E20" s="216" t="n"/>
      <c r="F20" s="216" t="n"/>
      <c r="G20" s="78" t="n"/>
      <c r="H20" s="209" t="n"/>
      <c r="I20" s="217" t="n"/>
      <c r="J20" s="75" t="n"/>
      <c r="K20" s="223" t="n"/>
      <c r="L20" s="211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82" t="n"/>
      <c r="C21" s="95" t="n"/>
      <c r="D21" s="129" t="n"/>
      <c r="E21" s="213" t="n"/>
      <c r="F21" s="213" t="n"/>
      <c r="G21" s="132" t="n"/>
      <c r="H21" s="209" t="n"/>
      <c r="I21" s="210" t="n"/>
      <c r="J21" s="129" t="n"/>
      <c r="K21" s="89" t="n"/>
      <c r="L21" s="211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95" t="n"/>
      <c r="D22" s="75" t="n"/>
      <c r="E22" s="216" t="n"/>
      <c r="F22" s="216" t="n"/>
      <c r="G22" s="78" t="n"/>
      <c r="H22" s="209" t="n"/>
      <c r="I22" s="217" t="n"/>
      <c r="J22" s="75" t="n"/>
      <c r="K22" s="104" t="n"/>
      <c r="L22" s="211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224" t="n"/>
      <c r="D23" s="75" t="n"/>
      <c r="E23" s="216" t="n"/>
      <c r="F23" s="216" t="n"/>
      <c r="G23" s="78" t="n"/>
      <c r="H23" s="209" t="n"/>
      <c r="I23" s="217" t="n"/>
      <c r="J23" s="75" t="n"/>
      <c r="K23" s="104" t="n"/>
      <c r="L23" s="211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82" t="n"/>
      <c r="C24" s="95" t="n"/>
      <c r="D24" s="129" t="n"/>
      <c r="E24" s="213" t="n"/>
      <c r="F24" s="213" t="n"/>
      <c r="G24" s="132" t="n"/>
      <c r="H24" s="209" t="n"/>
      <c r="I24" s="210" t="n"/>
      <c r="J24" s="129" t="n"/>
      <c r="K24" s="80" t="n"/>
      <c r="L24" s="211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5" t="n"/>
      <c r="D25" s="75" t="n"/>
      <c r="E25" s="216" t="n"/>
      <c r="F25" s="216" t="n"/>
      <c r="G25" s="78" t="n"/>
      <c r="H25" s="209" t="n"/>
      <c r="I25" s="217" t="n"/>
      <c r="J25" s="75" t="n"/>
      <c r="K25" s="104" t="n"/>
      <c r="L25" s="21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73" t="n"/>
      <c r="C26" s="225" t="n"/>
      <c r="D26" s="75" t="n"/>
      <c r="E26" s="216" t="n"/>
      <c r="F26" s="216" t="n"/>
      <c r="G26" s="78" t="n"/>
      <c r="H26" s="209" t="n"/>
      <c r="I26" s="217" t="n"/>
      <c r="J26" s="75" t="n"/>
      <c r="K26" s="80" t="n"/>
      <c r="L26" s="211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82" t="n"/>
      <c r="C27" s="95" t="n"/>
      <c r="D27" s="129" t="n"/>
      <c r="E27" s="218" t="n"/>
      <c r="F27" s="219" t="n"/>
      <c r="G27" s="132" t="n"/>
      <c r="H27" s="209" t="n"/>
      <c r="I27" s="210" t="n"/>
      <c r="J27" s="129" t="n"/>
      <c r="K27" s="80" t="n"/>
      <c r="L27" s="211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73" t="n"/>
      <c r="C28" s="95" t="n"/>
      <c r="D28" s="75" t="n"/>
      <c r="E28" s="216" t="n"/>
      <c r="F28" s="216" t="n"/>
      <c r="G28" s="78" t="n"/>
      <c r="H28" s="209" t="n"/>
      <c r="I28" s="217" t="n"/>
      <c r="J28" s="75" t="n"/>
      <c r="K28" s="104" t="n"/>
      <c r="L28" s="211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73" t="n"/>
      <c r="C29" s="106" t="n"/>
      <c r="D29" s="75" t="n"/>
      <c r="E29" s="216" t="n"/>
      <c r="F29" s="216" t="n"/>
      <c r="G29" s="78" t="n"/>
      <c r="H29" s="209" t="n"/>
      <c r="I29" s="217" t="n"/>
      <c r="J29" s="75" t="n"/>
      <c r="K29" s="80" t="n"/>
      <c r="L29" s="211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/>
      <c r="B30" s="108" t="n"/>
      <c r="C30" s="109" t="n"/>
      <c r="D30" s="109">
        <f>SUM(D5:D29)</f>
        <v/>
      </c>
      <c r="E30" s="110">
        <f>SUM(E5:E29)</f>
        <v/>
      </c>
      <c r="F30" s="111">
        <f>SUM(F5:F29)</f>
        <v/>
      </c>
      <c r="G30" s="110">
        <f>SUM(G5:G29)</f>
        <v/>
      </c>
      <c r="H30" s="110">
        <f>SUM(H5:H29)</f>
        <v/>
      </c>
      <c r="I30" s="110">
        <f>SUM(I5:I29)</f>
        <v/>
      </c>
      <c r="J30" s="112">
        <f>SUM(J5:J29)</f>
        <v/>
      </c>
      <c r="K30" s="113" t="n"/>
      <c r="L30" s="114">
        <f>J30/D30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B31" s="7" t="n"/>
      <c r="C31" s="337" t="n"/>
      <c r="E31" s="338" t="n"/>
      <c r="I31" s="115">
        <f>SUM(E5:I29)</f>
        <v/>
      </c>
      <c r="J31" s="116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4.75" customHeight="1" s="335">
      <c r="A32" s="7" t="n"/>
      <c r="B32" s="7" t="n"/>
      <c r="C32" s="10" t="n"/>
      <c r="D32" s="10" t="n"/>
      <c r="E32" s="339">
        <f>SUM(E30:F30)</f>
        <v/>
      </c>
      <c r="G32" s="41" t="n"/>
      <c r="H32" s="41" t="n"/>
      <c r="I32" s="117" t="n"/>
      <c r="J32" s="118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4.75" customHeight="1" s="335">
      <c r="A33" s="7" t="n"/>
      <c r="B33" s="7" t="n"/>
      <c r="C33" s="10" t="n"/>
      <c r="D33" s="10" t="n"/>
      <c r="G33" s="41" t="n"/>
      <c r="H33" s="41" t="n"/>
      <c r="I33" s="117" t="n"/>
      <c r="J33" s="118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7" customHeight="1" s="335">
      <c r="A34" s="7" t="n"/>
      <c r="B34" s="7" t="n"/>
      <c r="C34" s="119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B35" s="340" t="n"/>
      <c r="K35" s="158" t="n"/>
      <c r="L35" s="158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K36" s="158" t="n"/>
      <c r="L36" s="158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K37" s="158" t="n"/>
      <c r="L37" s="158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SUM(J5,J6,J7,J9,J15,J18,J22,J23,J25,J28)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SUM(J8,J12,J13,J14,J19,J21)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SUM(J10,J11,J16,J17,J24,J26,J27,J29)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38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12" workbookViewId="0">
      <selection activeCell="I29" sqref="I29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2025年4月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6" t="n"/>
      <c r="I4" s="163" t="inlineStr">
        <is>
          <t>⑥外注　南、吾</t>
        </is>
      </c>
      <c r="J4" s="70" t="inlineStr">
        <is>
          <t>⑦粗利益</t>
        </is>
      </c>
      <c r="K4" s="168" t="inlineStr">
        <is>
          <t>班　長</t>
        </is>
      </c>
      <c r="L4" s="1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130" t="n"/>
      <c r="F5" s="170" t="n"/>
      <c r="G5" s="132" t="n"/>
      <c r="H5" s="93" t="n"/>
      <c r="I5" s="130" t="n"/>
      <c r="J5" s="129" t="n"/>
      <c r="K5" s="104" t="n"/>
      <c r="L5" s="81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130" t="n"/>
      <c r="F6" s="131" t="n"/>
      <c r="G6" s="132" t="n"/>
      <c r="H6" s="93" t="n"/>
      <c r="I6" s="130" t="n"/>
      <c r="J6" s="129" t="n"/>
      <c r="K6" s="89" t="n"/>
      <c r="L6" s="81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107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91" t="n"/>
      <c r="D8" s="84" t="n"/>
      <c r="E8" s="85" t="n"/>
      <c r="F8" s="86" t="n"/>
      <c r="G8" s="87" t="n"/>
      <c r="H8" s="93" t="n"/>
      <c r="I8" s="85" t="n"/>
      <c r="J8" s="84" t="n"/>
      <c r="K8" s="104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1" t="n"/>
      <c r="D9" s="75" t="n"/>
      <c r="E9" s="76" t="n"/>
      <c r="F9" s="92" t="n"/>
      <c r="G9" s="78" t="n"/>
      <c r="H9" s="93" t="n"/>
      <c r="I9" s="76" t="n"/>
      <c r="J9" s="75" t="n"/>
      <c r="K9" s="89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106" t="n"/>
      <c r="D10" s="75" t="n"/>
      <c r="E10" s="76" t="n"/>
      <c r="F10" s="92" t="n"/>
      <c r="G10" s="78" t="n"/>
      <c r="H10" s="93" t="n"/>
      <c r="I10" s="76" t="n"/>
      <c r="J10" s="75" t="n"/>
      <c r="K10" s="80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76" t="n"/>
      <c r="F11" s="92" t="n"/>
      <c r="G11" s="78" t="n"/>
      <c r="H11" s="93" t="n"/>
      <c r="I11" s="76" t="n"/>
      <c r="J11" s="75" t="n"/>
      <c r="K11" s="104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91" t="n"/>
      <c r="D12" s="75" t="n"/>
      <c r="E12" s="76" t="n"/>
      <c r="F12" s="92" t="n"/>
      <c r="G12" s="78" t="n"/>
      <c r="H12" s="93" t="n"/>
      <c r="I12" s="76" t="n"/>
      <c r="J12" s="75" t="n"/>
      <c r="K12" s="89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91" t="n"/>
      <c r="D14" s="75" t="n"/>
      <c r="E14" s="76" t="n"/>
      <c r="F14" s="92" t="n"/>
      <c r="G14" s="78" t="n"/>
      <c r="H14" s="93" t="n"/>
      <c r="I14" s="76" t="n"/>
      <c r="J14" s="75" t="n"/>
      <c r="K14" s="104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1" t="n"/>
      <c r="D15" s="75" t="n"/>
      <c r="E15" s="76" t="n"/>
      <c r="F15" s="92" t="n"/>
      <c r="G15" s="78" t="n"/>
      <c r="H15" s="93" t="n"/>
      <c r="I15" s="76" t="n"/>
      <c r="J15" s="75" t="n"/>
      <c r="K15" s="80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106" t="n"/>
      <c r="D16" s="75" t="n"/>
      <c r="E16" s="76" t="n"/>
      <c r="F16" s="92" t="n"/>
      <c r="G16" s="78" t="n"/>
      <c r="H16" s="93" t="n"/>
      <c r="I16" s="76" t="n"/>
      <c r="J16" s="75" t="n"/>
      <c r="K16" s="80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80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76" t="n"/>
      <c r="F18" s="92" t="n"/>
      <c r="G18" s="78" t="n"/>
      <c r="H18" s="93" t="n"/>
      <c r="I18" s="76" t="n"/>
      <c r="J18" s="75" t="n"/>
      <c r="K18" s="89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80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80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92" t="n"/>
      <c r="F21" s="92" t="n"/>
      <c r="G21" s="78" t="n"/>
      <c r="H21" s="93" t="n"/>
      <c r="I21" s="76" t="n"/>
      <c r="J21" s="75" t="n"/>
      <c r="K21" s="80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106" t="n"/>
      <c r="D22" s="75" t="n"/>
      <c r="E22" s="92" t="n"/>
      <c r="F22" s="92" t="n"/>
      <c r="G22" s="78" t="n"/>
      <c r="H22" s="93" t="n"/>
      <c r="I22" s="76" t="n"/>
      <c r="J22" s="75" t="n"/>
      <c r="K22" s="89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5" t="n"/>
      <c r="D23" s="75" t="n"/>
      <c r="E23" s="92" t="n"/>
      <c r="F23" s="92" t="n"/>
      <c r="G23" s="78" t="n"/>
      <c r="H23" s="93" t="n"/>
      <c r="I23" s="76" t="n"/>
      <c r="J23" s="75" t="n"/>
      <c r="K23" s="89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5" t="n"/>
      <c r="D24" s="75" t="n"/>
      <c r="E24" s="92" t="n"/>
      <c r="F24" s="92" t="n"/>
      <c r="G24" s="78" t="n"/>
      <c r="H24" s="93" t="n"/>
      <c r="I24" s="76" t="n"/>
      <c r="J24" s="75" t="n"/>
      <c r="K24" s="89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5" t="n"/>
      <c r="D25" s="75" t="n"/>
      <c r="E25" s="92" t="n"/>
      <c r="F25" s="92" t="n"/>
      <c r="G25" s="78" t="n"/>
      <c r="H25" s="93" t="n"/>
      <c r="I25" s="76" t="n"/>
      <c r="J25" s="75" t="n"/>
      <c r="K25" s="80" t="n"/>
      <c r="L25" s="8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73" t="n"/>
      <c r="C26" s="106" t="n"/>
      <c r="D26" s="75" t="n"/>
      <c r="E26" s="92" t="n"/>
      <c r="F26" s="92" t="n"/>
      <c r="G26" s="78" t="n"/>
      <c r="H26" s="93" t="n"/>
      <c r="I26" s="76" t="n"/>
      <c r="J26" s="75" t="n"/>
      <c r="K26" s="104" t="n"/>
      <c r="L26" s="81">
        <f>J26/D26</f>
        <v/>
      </c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127" t="n"/>
      <c r="C27" s="128" t="n"/>
      <c r="D27" s="129" t="n"/>
      <c r="E27" s="131" t="n"/>
      <c r="F27" s="131" t="n"/>
      <c r="G27" s="132" t="n"/>
      <c r="H27" s="93" t="n"/>
      <c r="I27" s="130" t="n"/>
      <c r="J27" s="129" t="n"/>
      <c r="K27" s="89" t="n"/>
      <c r="L27" s="134">
        <f>J27/D27</f>
        <v/>
      </c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198" t="n">
        <v>24</v>
      </c>
      <c r="B28" s="199" t="n"/>
      <c r="C28" s="200" t="n"/>
      <c r="D28" s="201" t="n"/>
      <c r="E28" s="202" t="n"/>
      <c r="F28" s="202" t="n"/>
      <c r="G28" s="203" t="n"/>
      <c r="H28" s="204" t="n"/>
      <c r="I28" s="205" t="n"/>
      <c r="J28" s="201" t="n"/>
      <c r="K28" s="154" t="n"/>
      <c r="L28" s="206">
        <f>J28/D28</f>
        <v/>
      </c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197" t="n"/>
      <c r="D29" s="99" t="n"/>
      <c r="E29" s="101" t="n"/>
      <c r="F29" s="101" t="n"/>
      <c r="G29" s="102" t="n"/>
      <c r="H29" s="88" t="n"/>
      <c r="I29" s="100" t="n"/>
      <c r="J29" s="99" t="n"/>
      <c r="K29" s="104" t="n"/>
      <c r="L29" s="90">
        <f>J29/D29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73" t="n"/>
      <c r="C30" s="95" t="n"/>
      <c r="D30" s="75" t="n"/>
      <c r="E30" s="92" t="n"/>
      <c r="F30" s="92" t="n"/>
      <c r="G30" s="78" t="n"/>
      <c r="H30" s="93" t="n"/>
      <c r="I30" s="76" t="n"/>
      <c r="J30" s="75" t="n"/>
      <c r="K30" s="89" t="n"/>
      <c r="L30" s="81">
        <f>J30/D30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73" t="n"/>
      <c r="C31" s="95" t="n"/>
      <c r="D31" s="75" t="n"/>
      <c r="E31" s="92" t="n"/>
      <c r="F31" s="92" t="n"/>
      <c r="G31" s="78" t="n"/>
      <c r="H31" s="93" t="n"/>
      <c r="I31" s="76" t="n"/>
      <c r="J31" s="75" t="n"/>
      <c r="K31" s="80" t="n"/>
      <c r="L31" s="81">
        <f>J31/D31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SUM(J5,J8,J11,J13,J14,J26,J28,J29)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SUM(J6,J9,J12,J18,J22,J23,J24,J27,J30)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SUM(J10,J15,J16,J17,J19,J20,J21,J25,J31)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G6" sqref="G6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2025年５月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6" t="n"/>
      <c r="I4" s="163" t="inlineStr">
        <is>
          <t>⑥外注　南、吾</t>
        </is>
      </c>
      <c r="J4" s="70" t="inlineStr">
        <is>
          <t>⑦粗利益</t>
        </is>
      </c>
      <c r="K4" s="168" t="inlineStr">
        <is>
          <t>班　長</t>
        </is>
      </c>
      <c r="L4" s="1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130" t="n"/>
      <c r="F5" s="170" t="n"/>
      <c r="G5" s="132" t="n"/>
      <c r="H5" s="93" t="n"/>
      <c r="I5" s="130" t="n"/>
      <c r="J5" s="129" t="n"/>
      <c r="K5" s="89" t="n"/>
      <c r="L5" s="81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130" t="n"/>
      <c r="F6" s="131" t="n"/>
      <c r="G6" s="132" t="n"/>
      <c r="H6" s="93" t="n"/>
      <c r="I6" s="130" t="n"/>
      <c r="J6" s="129" t="n"/>
      <c r="K6" s="104" t="n"/>
      <c r="L6" s="81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104" t="n"/>
      <c r="L7" s="81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91" t="n"/>
      <c r="D8" s="84" t="n"/>
      <c r="E8" s="85" t="n"/>
      <c r="F8" s="86" t="n"/>
      <c r="G8" s="87" t="n"/>
      <c r="H8" s="93" t="n"/>
      <c r="I8" s="85" t="n"/>
      <c r="J8" s="84" t="n"/>
      <c r="K8" s="104" t="n"/>
      <c r="L8" s="81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1" t="n"/>
      <c r="D9" s="75" t="n"/>
      <c r="E9" s="76" t="n"/>
      <c r="F9" s="92" t="n"/>
      <c r="G9" s="78" t="n"/>
      <c r="H9" s="93" t="n"/>
      <c r="I9" s="76" t="n"/>
      <c r="J9" s="75" t="n"/>
      <c r="K9" s="104" t="n"/>
      <c r="L9" s="81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8" t="n"/>
      <c r="D10" s="75" t="n"/>
      <c r="E10" s="76" t="n"/>
      <c r="F10" s="92" t="n"/>
      <c r="G10" s="78" t="n"/>
      <c r="H10" s="93" t="n"/>
      <c r="I10" s="76" t="n"/>
      <c r="J10" s="75" t="n"/>
      <c r="K10" s="80" t="n"/>
      <c r="L10" s="81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76" t="n"/>
      <c r="F11" s="92" t="n"/>
      <c r="G11" s="78" t="n"/>
      <c r="H11" s="93" t="n"/>
      <c r="I11" s="76" t="n"/>
      <c r="J11" s="75" t="n"/>
      <c r="K11" s="80" t="n"/>
      <c r="L11" s="81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91" t="n"/>
      <c r="D12" s="75" t="n"/>
      <c r="E12" s="76" t="n"/>
      <c r="F12" s="92" t="n"/>
      <c r="G12" s="78" t="n"/>
      <c r="H12" s="93" t="n"/>
      <c r="I12" s="76" t="n"/>
      <c r="J12" s="75" t="n"/>
      <c r="K12" s="89" t="n"/>
      <c r="L12" s="81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80" t="n"/>
      <c r="L13" s="81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91" t="n"/>
      <c r="D14" s="75" t="n"/>
      <c r="E14" s="76" t="n"/>
      <c r="F14" s="92" t="n"/>
      <c r="G14" s="78" t="n"/>
      <c r="H14" s="93" t="n"/>
      <c r="I14" s="76" t="n"/>
      <c r="J14" s="75" t="n"/>
      <c r="K14" s="104" t="n"/>
      <c r="L14" s="81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1" t="n"/>
      <c r="D15" s="75" t="n"/>
      <c r="E15" s="76" t="n"/>
      <c r="F15" s="92" t="n"/>
      <c r="G15" s="78" t="n"/>
      <c r="H15" s="93" t="n"/>
      <c r="I15" s="76" t="n"/>
      <c r="J15" s="75" t="n"/>
      <c r="K15" s="104" t="n"/>
      <c r="L15" s="81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8" t="n"/>
      <c r="D16" s="75" t="n"/>
      <c r="E16" s="76" t="n"/>
      <c r="F16" s="92" t="n"/>
      <c r="G16" s="78" t="n"/>
      <c r="H16" s="93" t="n"/>
      <c r="I16" s="76" t="n"/>
      <c r="J16" s="75" t="n"/>
      <c r="K16" s="89" t="n"/>
      <c r="L16" s="81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106" t="n"/>
      <c r="D17" s="75" t="n"/>
      <c r="E17" s="76" t="n"/>
      <c r="F17" s="92" t="n"/>
      <c r="G17" s="78" t="n"/>
      <c r="H17" s="93" t="n"/>
      <c r="I17" s="76" t="n"/>
      <c r="J17" s="75" t="n"/>
      <c r="K17" s="104" t="n"/>
      <c r="L17" s="81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76" t="n"/>
      <c r="F18" s="92" t="n"/>
      <c r="G18" s="78" t="n"/>
      <c r="H18" s="93" t="n"/>
      <c r="I18" s="76" t="n"/>
      <c r="J18" s="75" t="n"/>
      <c r="K18" s="89" t="n"/>
      <c r="L18" s="81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80" t="n"/>
      <c r="L19" s="81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80" t="n"/>
      <c r="L20" s="81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106" t="n"/>
      <c r="D21" s="75" t="n"/>
      <c r="E21" s="76" t="n"/>
      <c r="F21" s="92" t="n"/>
      <c r="G21" s="78" t="n"/>
      <c r="H21" s="93" t="n"/>
      <c r="I21" s="76" t="n"/>
      <c r="J21" s="75" t="n"/>
      <c r="K21" s="80" t="n"/>
      <c r="L21" s="81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106" t="n"/>
      <c r="D22" s="75" t="n"/>
      <c r="E22" s="92" t="n"/>
      <c r="F22" s="92" t="n"/>
      <c r="G22" s="78" t="n"/>
      <c r="H22" s="93" t="n"/>
      <c r="I22" s="76" t="n"/>
      <c r="J22" s="75" t="n"/>
      <c r="K22" s="104" t="n"/>
      <c r="L22" s="81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5" t="n"/>
      <c r="D23" s="75" t="n"/>
      <c r="E23" s="92" t="n"/>
      <c r="F23" s="92" t="n"/>
      <c r="G23" s="78" t="n"/>
      <c r="H23" s="93" t="n"/>
      <c r="I23" s="76" t="n"/>
      <c r="J23" s="75" t="n"/>
      <c r="K23" s="104" t="n"/>
      <c r="L23" s="81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5" t="n"/>
      <c r="D24" s="75" t="n"/>
      <c r="E24" s="92" t="n"/>
      <c r="F24" s="92" t="n"/>
      <c r="G24" s="78" t="n"/>
      <c r="H24" s="93" t="n"/>
      <c r="I24" s="76" t="n"/>
      <c r="J24" s="75" t="n"/>
      <c r="K24" s="89" t="n"/>
      <c r="L24" s="81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5" t="n"/>
      <c r="D25" s="75" t="n"/>
      <c r="E25" s="92" t="n"/>
      <c r="F25" s="92" t="n"/>
      <c r="G25" s="78" t="n"/>
      <c r="H25" s="93" t="n"/>
      <c r="I25" s="76" t="n"/>
      <c r="J25" s="75" t="n"/>
      <c r="K25" s="104" t="n"/>
      <c r="L25" s="8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73" t="n"/>
      <c r="C26" s="98" t="n"/>
      <c r="D26" s="75" t="n"/>
      <c r="E26" s="92" t="n"/>
      <c r="F26" s="92" t="n"/>
      <c r="G26" s="78" t="n"/>
      <c r="H26" s="93" t="n"/>
      <c r="I26" s="76" t="n"/>
      <c r="J26" s="75" t="n"/>
      <c r="K26" s="89" t="n"/>
      <c r="L26" s="81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73" t="n"/>
      <c r="C27" s="98" t="n"/>
      <c r="D27" s="75" t="n"/>
      <c r="E27" s="92" t="n"/>
      <c r="F27" s="92" t="n"/>
      <c r="G27" s="78" t="n"/>
      <c r="H27" s="79" t="n"/>
      <c r="I27" s="76" t="n"/>
      <c r="J27" s="75" t="n"/>
      <c r="K27" s="80" t="n"/>
      <c r="L27" s="81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197" t="n"/>
      <c r="D28" s="99" t="n"/>
      <c r="E28" s="101" t="n"/>
      <c r="F28" s="101" t="n"/>
      <c r="G28" s="102" t="n"/>
      <c r="H28" s="88" t="n"/>
      <c r="I28" s="100" t="n"/>
      <c r="J28" s="99" t="n"/>
      <c r="K28" s="145" t="n"/>
      <c r="L28" s="90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73" t="n"/>
      <c r="C29" s="95" t="n"/>
      <c r="D29" s="75" t="n"/>
      <c r="E29" s="92" t="n"/>
      <c r="F29" s="92" t="n"/>
      <c r="G29" s="78" t="n"/>
      <c r="H29" s="93" t="n"/>
      <c r="I29" s="76" t="n"/>
      <c r="J29" s="75" t="n"/>
      <c r="K29" s="89" t="n"/>
      <c r="L29" s="81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73" t="n"/>
      <c r="C30" s="95" t="n"/>
      <c r="D30" s="75" t="n"/>
      <c r="E30" s="92" t="n"/>
      <c r="F30" s="92" t="n"/>
      <c r="G30" s="78" t="n"/>
      <c r="H30" s="93" t="n"/>
      <c r="I30" s="76" t="n"/>
      <c r="J30" s="75" t="n"/>
      <c r="K30" s="80" t="n"/>
      <c r="L30" s="8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B31" s="108" t="n"/>
      <c r="C31" s="109" t="n"/>
      <c r="D31" s="109">
        <f>SUM(D5:D30)</f>
        <v/>
      </c>
      <c r="E31" s="110">
        <f>SUM(E5:E30)</f>
        <v/>
      </c>
      <c r="F31" s="111">
        <f>SUM(F5:F30)</f>
        <v/>
      </c>
      <c r="G31" s="110">
        <f>SUM(G5:G30)</f>
        <v/>
      </c>
      <c r="H31" s="110">
        <f>SUM(H5:H30)</f>
        <v/>
      </c>
      <c r="I31" s="110">
        <f>SUM(I5:I30)</f>
        <v/>
      </c>
      <c r="J31" s="112">
        <f>SUM(J5:J30)</f>
        <v/>
      </c>
      <c r="K31" s="113" t="n"/>
      <c r="L31" s="114">
        <f>J31/D31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7" t="n"/>
      <c r="C32" s="337" t="inlineStr">
        <is>
          <t>売上合計</t>
        </is>
      </c>
      <c r="E32" s="338" t="inlineStr">
        <is>
          <t>原材料　経費　合計</t>
        </is>
      </c>
      <c r="I32" s="115">
        <f>SUM(E5:I30)</f>
        <v/>
      </c>
      <c r="J32" s="116" t="inlineStr">
        <is>
          <t>利益</t>
        </is>
      </c>
      <c r="K32" s="7" t="n"/>
      <c r="L32" s="41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4.75" customHeight="1" s="335">
      <c r="A33" s="7" t="n"/>
      <c r="B33" s="7" t="n"/>
      <c r="C33" s="10" t="n"/>
      <c r="D33" s="10" t="n"/>
      <c r="E33" s="339">
        <f>SUM(E31:F31)</f>
        <v/>
      </c>
      <c r="G33" s="41" t="n"/>
      <c r="H33" s="41" t="n"/>
      <c r="I33" s="117" t="n"/>
      <c r="J33" s="118" t="n"/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B35" s="7" t="n"/>
      <c r="C35" s="119" t="n"/>
      <c r="D35" s="7" t="n"/>
      <c r="E35" s="7" t="n"/>
      <c r="F35" s="7" t="n"/>
      <c r="G35" s="7" t="n"/>
      <c r="H35" s="7" t="n"/>
      <c r="I35" s="7" t="n"/>
      <c r="J35" s="7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340" t="inlineStr">
        <is>
          <t>①野田　民夫様邸　追加見積費用（パッチ補修追加）　→　未入金
②橋本　典子様邸　追加見積費用（シート鋼板撤去）　→　未入金
②平沼様邸（本川所長 指定追加）　追加見積費用（パッチ補修）　→　未入金
※現場着工後の【追加工事】費用について、各班長にて再確認　→　支払依頼書へ反映されているかも
※※今後、上記の追加工事費用をAJより支払していただく為の、社内共通ルールを検討</t>
        </is>
      </c>
      <c r="K36" s="158" t="n"/>
      <c r="L36" s="159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SUM(J6,J7,J8,J9,J14,J15,J17,J22,J23)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SUM(J5,J12,J16,J18,J24)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SUM(J10,J11,J13,J19,J20,J21)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342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343" t="n"/>
      <c r="C3" s="10" t="n"/>
      <c r="D3" s="344" t="n">
        <v>2</v>
      </c>
      <c r="F3" s="10" t="n"/>
      <c r="G3" s="344" t="n">
        <v>3</v>
      </c>
      <c r="I3" s="10" t="n"/>
      <c r="J3" s="344" t="n">
        <v>4</v>
      </c>
      <c r="L3" s="10" t="n"/>
      <c r="M3" s="344" t="n">
        <v>5</v>
      </c>
      <c r="O3" s="10" t="n"/>
      <c r="P3" s="344" t="n">
        <v>6</v>
      </c>
      <c r="R3" s="10" t="n"/>
      <c r="S3" s="7" t="n"/>
      <c r="T3" s="194" t="n"/>
      <c r="U3" s="195" t="n"/>
      <c r="V3" s="302" t="n">
        <v>1</v>
      </c>
      <c r="W3" s="343" t="n"/>
      <c r="X3" s="10" t="n"/>
      <c r="Y3" s="344" t="n">
        <v>2</v>
      </c>
      <c r="AA3" s="10" t="n"/>
      <c r="AB3" s="344" t="n">
        <v>3</v>
      </c>
      <c r="AD3" s="10" t="n"/>
      <c r="AE3" s="344" t="n">
        <v>4</v>
      </c>
      <c r="AG3" s="10" t="n"/>
      <c r="AH3" s="344" t="n">
        <v>5</v>
      </c>
      <c r="AJ3" s="10" t="n"/>
      <c r="AK3" s="344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345" t="n"/>
      <c r="B8" s="34" t="n"/>
      <c r="C8" s="35" t="n"/>
      <c r="D8" s="346" t="n"/>
      <c r="E8" s="20" t="n"/>
      <c r="F8" s="37" t="n"/>
      <c r="G8" s="345" t="n"/>
      <c r="H8" s="34" t="n"/>
      <c r="I8" s="35" t="n"/>
      <c r="J8" s="346" t="n"/>
      <c r="K8" s="20" t="n"/>
      <c r="L8" s="37" t="n"/>
      <c r="M8" s="345" t="n"/>
      <c r="N8" s="34" t="n"/>
      <c r="O8" s="35" t="n"/>
      <c r="P8" s="346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345" t="n"/>
      <c r="W8" s="34" t="n"/>
      <c r="X8" s="35" t="n"/>
      <c r="Y8" s="346" t="n"/>
      <c r="Z8" s="20" t="n"/>
      <c r="AA8" s="37" t="n"/>
      <c r="AB8" s="345" t="n"/>
      <c r="AC8" s="34" t="n"/>
      <c r="AD8" s="35" t="n"/>
      <c r="AE8" s="346" t="n"/>
      <c r="AF8" s="20" t="n"/>
      <c r="AG8" s="37" t="n"/>
      <c r="AH8" s="345" t="n"/>
      <c r="AI8" s="34" t="n"/>
      <c r="AJ8" s="35" t="n"/>
      <c r="AK8" s="346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347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348" t="n"/>
      <c r="B10" s="349" t="n"/>
      <c r="C10" s="41" t="n"/>
      <c r="D10" s="348" t="n"/>
      <c r="E10" s="349" t="n"/>
      <c r="F10" s="41" t="n"/>
      <c r="G10" s="348" t="n"/>
      <c r="H10" s="349" t="n"/>
      <c r="I10" s="41" t="n"/>
      <c r="J10" s="348" t="n"/>
      <c r="K10" s="349" t="n"/>
      <c r="L10" s="41" t="n"/>
      <c r="M10" s="348" t="n"/>
      <c r="N10" s="349" t="n"/>
      <c r="O10" s="41" t="n"/>
      <c r="P10" s="348" t="n"/>
      <c r="Q10" s="349" t="n"/>
      <c r="R10" s="41" t="n"/>
      <c r="S10" s="350" t="inlineStr">
        <is>
          <t>合計</t>
        </is>
      </c>
      <c r="T10" s="351">
        <f>SUM(A10,D10,G10,J10,M10,P10)</f>
        <v/>
      </c>
      <c r="U10" s="349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352" t="n"/>
      <c r="B11" s="353" t="n"/>
      <c r="C11" s="41" t="n"/>
      <c r="D11" s="352" t="n"/>
      <c r="E11" s="353" t="n"/>
      <c r="F11" s="41" t="n"/>
      <c r="G11" s="352" t="n"/>
      <c r="H11" s="353" t="n"/>
      <c r="I11" s="41" t="n"/>
      <c r="J11" s="352" t="n"/>
      <c r="K11" s="353" t="n"/>
      <c r="L11" s="41" t="n"/>
      <c r="M11" s="352" t="n"/>
      <c r="N11" s="353" t="n"/>
      <c r="O11" s="41" t="n"/>
      <c r="P11" s="352" t="n"/>
      <c r="Q11" s="353" t="n"/>
      <c r="R11" s="41" t="n"/>
      <c r="S11" s="354" t="n"/>
      <c r="T11" s="352" t="n"/>
      <c r="U11" s="353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355">
        <f>T10/6</f>
        <v/>
      </c>
      <c r="U12" s="356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357" t="n"/>
      <c r="B13" s="349" t="n"/>
      <c r="C13" s="41" t="n"/>
      <c r="D13" s="357" t="n"/>
      <c r="E13" s="349" t="n"/>
      <c r="F13" s="41" t="n"/>
      <c r="G13" s="357" t="n"/>
      <c r="H13" s="349" t="n"/>
      <c r="I13" s="41" t="n"/>
      <c r="J13" s="357" t="n"/>
      <c r="K13" s="349" t="n"/>
      <c r="L13" s="41" t="n"/>
      <c r="M13" s="357" t="n"/>
      <c r="N13" s="349" t="n"/>
      <c r="O13" s="41" t="n"/>
      <c r="P13" s="357" t="n"/>
      <c r="Q13" s="349" t="n"/>
      <c r="R13" s="41" t="n"/>
      <c r="S13" s="350" t="inlineStr">
        <is>
          <t>合計</t>
        </is>
      </c>
      <c r="T13" s="358">
        <f>SUM(A13,D13,G13,J13,M13,P13)</f>
        <v/>
      </c>
      <c r="U13" s="349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352" t="n"/>
      <c r="B14" s="353" t="n"/>
      <c r="C14" s="41" t="n"/>
      <c r="D14" s="352" t="n"/>
      <c r="E14" s="353" t="n"/>
      <c r="F14" s="41" t="n"/>
      <c r="G14" s="352" t="n"/>
      <c r="H14" s="353" t="n"/>
      <c r="I14" s="41" t="n"/>
      <c r="J14" s="352" t="n"/>
      <c r="K14" s="353" t="n"/>
      <c r="L14" s="41" t="n"/>
      <c r="M14" s="352" t="n"/>
      <c r="N14" s="353" t="n"/>
      <c r="O14" s="41" t="n"/>
      <c r="P14" s="352" t="n"/>
      <c r="Q14" s="353" t="n"/>
      <c r="R14" s="41" t="n"/>
      <c r="S14" s="354" t="n"/>
      <c r="T14" s="352" t="n"/>
      <c r="U14" s="353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355">
        <f>T13/6</f>
        <v/>
      </c>
      <c r="U15" s="356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347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347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347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347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359" t="inlineStr">
        <is>
          <t>賞与の配当について・・・
浅井社長より説明</t>
        </is>
      </c>
      <c r="B20" s="360" t="n"/>
      <c r="C20" s="360" t="n"/>
      <c r="D20" s="360" t="n"/>
      <c r="E20" s="360" t="n"/>
      <c r="F20" s="360" t="n"/>
      <c r="G20" s="360" t="n"/>
      <c r="H20" s="360" t="n"/>
      <c r="I20" s="360" t="n"/>
      <c r="J20" s="360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49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361" t="n"/>
      <c r="T21" s="354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361" t="n"/>
      <c r="T22" s="354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361" t="n"/>
      <c r="T23" s="354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361" t="n"/>
      <c r="T24" s="354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361" t="n"/>
      <c r="T25" s="354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361" t="n"/>
      <c r="T26" s="354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361" t="n"/>
      <c r="T27" s="354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361" t="n"/>
      <c r="T28" s="354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361" t="n"/>
      <c r="T29" s="354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361" t="n"/>
      <c r="T30" s="354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352" t="n"/>
      <c r="B31" s="343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  <c r="O31" s="343" t="n"/>
      <c r="P31" s="343" t="n"/>
      <c r="Q31" s="343" t="n"/>
      <c r="R31" s="343" t="n"/>
      <c r="S31" s="343" t="n"/>
      <c r="T31" s="353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35" workbookViewId="0">
      <selection activeCell="D42" sqref="D42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2025年6月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6" t="n"/>
      <c r="I4" s="167" t="inlineStr">
        <is>
          <t>⑥外注 小 南 吾</t>
        </is>
      </c>
      <c r="J4" s="70" t="inlineStr">
        <is>
          <t>⑦粗利益</t>
        </is>
      </c>
      <c r="K4" s="168" t="inlineStr">
        <is>
          <t>班　長</t>
        </is>
      </c>
      <c r="L4" s="1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130" t="n"/>
      <c r="F5" s="170" t="n"/>
      <c r="G5" s="132" t="n"/>
      <c r="H5" s="93" t="n"/>
      <c r="I5" s="130" t="n"/>
      <c r="J5" s="129" t="n"/>
      <c r="K5" s="104" t="n"/>
      <c r="L5" s="175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76" t="n"/>
      <c r="C6" s="177" t="n"/>
      <c r="D6" s="178" t="n"/>
      <c r="E6" s="130" t="n"/>
      <c r="F6" s="131" t="n"/>
      <c r="G6" s="132" t="n"/>
      <c r="H6" s="93" t="n"/>
      <c r="I6" s="130" t="n"/>
      <c r="J6" s="129" t="n"/>
      <c r="K6" s="104" t="n"/>
      <c r="L6" s="81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171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106" t="n"/>
      <c r="D8" s="84" t="n"/>
      <c r="E8" s="85" t="n"/>
      <c r="F8" s="86" t="n"/>
      <c r="G8" s="87" t="n"/>
      <c r="H8" s="93" t="n"/>
      <c r="I8" s="85" t="n"/>
      <c r="J8" s="84" t="n"/>
      <c r="K8" s="104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179" t="n"/>
      <c r="C9" s="180" t="n"/>
      <c r="D9" s="75" t="n"/>
      <c r="E9" s="76" t="n"/>
      <c r="F9" s="92" t="n"/>
      <c r="G9" s="78" t="n"/>
      <c r="H9" s="93" t="n"/>
      <c r="I9" s="181" t="n"/>
      <c r="J9" s="75" t="n"/>
      <c r="K9" s="80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106" t="n"/>
      <c r="D10" s="75" t="n"/>
      <c r="E10" s="76" t="n"/>
      <c r="F10" s="92" t="n"/>
      <c r="G10" s="78" t="n"/>
      <c r="H10" s="93" t="n"/>
      <c r="I10" s="76" t="n"/>
      <c r="J10" s="75" t="n"/>
      <c r="K10" s="89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76" t="n"/>
      <c r="F11" s="92" t="n"/>
      <c r="G11" s="78" t="n"/>
      <c r="H11" s="93" t="n"/>
      <c r="I11" s="181" t="n"/>
      <c r="J11" s="75" t="n"/>
      <c r="K11" s="80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91" t="n"/>
      <c r="D12" s="75" t="n"/>
      <c r="E12" s="76" t="n"/>
      <c r="F12" s="92" t="n"/>
      <c r="G12" s="78" t="n"/>
      <c r="H12" s="93" t="n"/>
      <c r="I12" s="181" t="n"/>
      <c r="J12" s="75" t="n"/>
      <c r="K12" s="89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91" t="n"/>
      <c r="D14" s="75" t="n"/>
      <c r="E14" s="76" t="n"/>
      <c r="F14" s="92" t="n"/>
      <c r="G14" s="78" t="n"/>
      <c r="H14" s="93" t="n"/>
      <c r="I14" s="76" t="n"/>
      <c r="J14" s="75" t="n"/>
      <c r="K14" s="89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106" t="n"/>
      <c r="D15" s="75" t="n"/>
      <c r="E15" s="76" t="n"/>
      <c r="F15" s="92" t="n"/>
      <c r="G15" s="78" t="n"/>
      <c r="H15" s="93" t="n"/>
      <c r="I15" s="76" t="n"/>
      <c r="J15" s="75" t="n"/>
      <c r="K15" s="104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106" t="n"/>
      <c r="D16" s="75" t="n"/>
      <c r="E16" s="76" t="n"/>
      <c r="F16" s="92" t="n"/>
      <c r="G16" s="78" t="n"/>
      <c r="H16" s="93" t="n"/>
      <c r="I16" s="181" t="n"/>
      <c r="J16" s="75" t="n"/>
      <c r="K16" s="104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80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76" t="n"/>
      <c r="F18" s="92" t="n"/>
      <c r="G18" s="78" t="n"/>
      <c r="H18" s="93" t="n"/>
      <c r="I18" s="76" t="n"/>
      <c r="J18" s="75" t="n"/>
      <c r="K18" s="89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106" t="n"/>
      <c r="D19" s="75" t="n"/>
      <c r="E19" s="76" t="n"/>
      <c r="F19" s="92" t="n"/>
      <c r="G19" s="78" t="n"/>
      <c r="H19" s="93" t="n"/>
      <c r="I19" s="172" t="n"/>
      <c r="J19" s="75" t="n"/>
      <c r="K19" s="80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106" t="n"/>
      <c r="D20" s="75" t="n"/>
      <c r="E20" s="92" t="n"/>
      <c r="F20" s="92" t="n"/>
      <c r="G20" s="78" t="n"/>
      <c r="H20" s="93" t="n"/>
      <c r="I20" s="76" t="n"/>
      <c r="J20" s="75" t="n"/>
      <c r="K20" s="104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179" t="n"/>
      <c r="C21" s="177" t="n"/>
      <c r="D21" s="75" t="n"/>
      <c r="E21" s="76" t="n"/>
      <c r="F21" s="92" t="n"/>
      <c r="G21" s="78" t="n"/>
      <c r="H21" s="93" t="n"/>
      <c r="I21" s="76" t="n"/>
      <c r="J21" s="75" t="n"/>
      <c r="K21" s="89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106" t="n"/>
      <c r="D22" s="75" t="n"/>
      <c r="E22" s="92" t="n"/>
      <c r="F22" s="92" t="n"/>
      <c r="G22" s="78" t="n"/>
      <c r="H22" s="93" t="n"/>
      <c r="I22" s="76" t="n"/>
      <c r="J22" s="75" t="n"/>
      <c r="K22" s="104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1" t="n"/>
      <c r="D23" s="75" t="n"/>
      <c r="E23" s="92" t="n"/>
      <c r="F23" s="92" t="n"/>
      <c r="G23" s="78" t="n"/>
      <c r="H23" s="93" t="n"/>
      <c r="I23" s="76" t="n"/>
      <c r="J23" s="75" t="n"/>
      <c r="K23" s="89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104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127" t="n"/>
      <c r="C25" s="91" t="n"/>
      <c r="D25" s="129" t="n"/>
      <c r="E25" s="131" t="n"/>
      <c r="F25" s="131" t="n"/>
      <c r="G25" s="132" t="n"/>
      <c r="H25" s="93" t="n"/>
      <c r="I25" s="130" t="n"/>
      <c r="J25" s="129" t="n"/>
      <c r="K25" s="182" t="n"/>
      <c r="L25" s="134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183" t="n">
        <v>22</v>
      </c>
      <c r="B26" s="184" t="n"/>
      <c r="C26" s="185" t="n"/>
      <c r="D26" s="186" t="n"/>
      <c r="E26" s="187" t="n"/>
      <c r="F26" s="187" t="n"/>
      <c r="G26" s="188" t="n"/>
      <c r="H26" s="189" t="n"/>
      <c r="I26" s="190" t="n"/>
      <c r="J26" s="186" t="n"/>
      <c r="K26" s="191" t="n"/>
      <c r="L26" s="192">
        <f>J26/D26</f>
        <v/>
      </c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74" t="n"/>
      <c r="D27" s="99" t="n"/>
      <c r="E27" s="101" t="n"/>
      <c r="F27" s="101" t="n"/>
      <c r="G27" s="102" t="n"/>
      <c r="H27" s="193" t="n"/>
      <c r="I27" s="100" t="n"/>
      <c r="J27" s="99" t="n"/>
      <c r="K27" s="157" t="n"/>
      <c r="L27" s="90">
        <f>J27/D27</f>
        <v/>
      </c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98" t="n"/>
      <c r="D28" s="99" t="n"/>
      <c r="E28" s="101" t="n"/>
      <c r="F28" s="101" t="n"/>
      <c r="G28" s="102" t="n"/>
      <c r="H28" s="88" t="n"/>
      <c r="I28" s="100" t="n"/>
      <c r="J28" s="99" t="n"/>
      <c r="K28" s="80" t="n"/>
      <c r="L28" s="81">
        <f>J28/D28</f>
        <v/>
      </c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73" t="n"/>
      <c r="C29" s="98" t="n"/>
      <c r="D29" s="75" t="n"/>
      <c r="E29" s="92" t="n"/>
      <c r="F29" s="92" t="n"/>
      <c r="G29" s="78" t="n"/>
      <c r="H29" s="93" t="n"/>
      <c r="I29" s="76" t="n"/>
      <c r="J29" s="75" t="n"/>
      <c r="K29" s="89" t="n"/>
      <c r="L29" s="81">
        <f>J29/D29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73" t="n"/>
      <c r="C30" s="95" t="n"/>
      <c r="D30" s="75" t="n"/>
      <c r="E30" s="92" t="n"/>
      <c r="F30" s="92" t="n"/>
      <c r="G30" s="78" t="n"/>
      <c r="H30" s="93" t="n"/>
      <c r="I30" s="76" t="n"/>
      <c r="J30" s="75" t="n"/>
      <c r="K30" s="80" t="n"/>
      <c r="L30" s="8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B31" s="108" t="n"/>
      <c r="C31" s="109" t="n"/>
      <c r="D31" s="109">
        <f>SUM(D5:D30)</f>
        <v/>
      </c>
      <c r="E31" s="110">
        <f>SUM(E5:E30)</f>
        <v/>
      </c>
      <c r="F31" s="111">
        <f>SUM(F5:F30)</f>
        <v/>
      </c>
      <c r="G31" s="110">
        <f>SUM(G5:G30)</f>
        <v/>
      </c>
      <c r="H31" s="110">
        <f>SUM(H5:H30)</f>
        <v/>
      </c>
      <c r="I31" s="110">
        <f>SUM(I5:I30)</f>
        <v/>
      </c>
      <c r="J31" s="112">
        <f>SUM(J5:J30)</f>
        <v/>
      </c>
      <c r="K31" s="113" t="n"/>
      <c r="L31" s="114">
        <f>J31/D31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7" t="n"/>
      <c r="C32" s="337" t="inlineStr">
        <is>
          <t>売上合計</t>
        </is>
      </c>
      <c r="E32" s="338" t="inlineStr">
        <is>
          <t>原材料　経費　合計</t>
        </is>
      </c>
      <c r="I32" s="115">
        <f>SUM(E5:I30)</f>
        <v/>
      </c>
      <c r="J32" s="116" t="inlineStr">
        <is>
          <t>利益</t>
        </is>
      </c>
      <c r="K32" s="7" t="n"/>
      <c r="L32" s="41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4.75" customHeight="1" s="335">
      <c r="A33" s="7" t="n"/>
      <c r="B33" s="7" t="n"/>
      <c r="C33" s="10" t="n"/>
      <c r="D33" s="10" t="n"/>
      <c r="E33" s="339">
        <f>SUM(E31:F31)</f>
        <v/>
      </c>
      <c r="G33" s="41" t="n"/>
      <c r="H33" s="41" t="n"/>
      <c r="I33" s="117" t="n"/>
      <c r="J33" s="118" t="n"/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B35" s="7" t="n"/>
      <c r="C35" s="119" t="n"/>
      <c r="D35" s="7" t="n"/>
      <c r="E35" s="7" t="n"/>
      <c r="F35" s="7" t="n"/>
      <c r="G35" s="7" t="n"/>
      <c r="H35" s="7" t="n"/>
      <c r="I35" s="7" t="n"/>
      <c r="J35" s="7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340" t="n"/>
      <c r="K36" s="158" t="n"/>
      <c r="L36" s="159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SUM(J5,J6,J8,J13,J15,J16,J20,J22,J24,J25)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SUM(J10,J12,J14,J18,J21,J23,J29)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SUM(J9,J11,J17,J19,J26,J27,J28)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32" workbookViewId="0">
      <selection activeCell="B37" sqref="B37:J41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2025年7月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inlineStr">
        <is>
          <t>①税 抜</t>
        </is>
      </c>
      <c r="E4" s="163" t="inlineStr">
        <is>
          <t>②社保</t>
        </is>
      </c>
      <c r="F4" s="164" t="inlineStr">
        <is>
          <t>③生産課</t>
        </is>
      </c>
      <c r="G4" s="165" t="inlineStr">
        <is>
          <t>④材料費</t>
        </is>
      </c>
      <c r="H4" s="166" t="n"/>
      <c r="I4" s="167" t="inlineStr">
        <is>
          <t>⑥外注 小 南 吾</t>
        </is>
      </c>
      <c r="J4" s="70" t="inlineStr">
        <is>
          <t>⑦粗利益</t>
        </is>
      </c>
      <c r="K4" s="168" t="inlineStr">
        <is>
          <t>班　長</t>
        </is>
      </c>
      <c r="L4" s="1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130" t="n"/>
      <c r="F5" s="170" t="n"/>
      <c r="G5" s="132" t="n"/>
      <c r="H5" s="93" t="n"/>
      <c r="I5" s="130" t="n"/>
      <c r="J5" s="129" t="n"/>
      <c r="K5" s="173" t="n"/>
      <c r="L5" s="81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130" t="n"/>
      <c r="F6" s="131" t="n"/>
      <c r="G6" s="132" t="n"/>
      <c r="H6" s="93" t="n"/>
      <c r="I6" s="130" t="n"/>
      <c r="J6" s="129" t="n"/>
      <c r="K6" s="104" t="n"/>
      <c r="L6" s="81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80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91" t="n"/>
      <c r="D8" s="84" t="n"/>
      <c r="E8" s="85" t="n"/>
      <c r="F8" s="86" t="n"/>
      <c r="G8" s="87" t="n"/>
      <c r="H8" s="93" t="n"/>
      <c r="I8" s="85" t="n"/>
      <c r="J8" s="84" t="n"/>
      <c r="K8" s="80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106" t="n"/>
      <c r="D9" s="75" t="n"/>
      <c r="E9" s="76" t="n"/>
      <c r="F9" s="92" t="n"/>
      <c r="G9" s="78" t="n"/>
      <c r="H9" s="93" t="n"/>
      <c r="I9" s="76" t="n"/>
      <c r="J9" s="75" t="n"/>
      <c r="K9" s="104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1" t="n"/>
      <c r="D10" s="75" t="n"/>
      <c r="E10" s="76" t="n"/>
      <c r="F10" s="92" t="n"/>
      <c r="G10" s="78" t="n"/>
      <c r="H10" s="93" t="n"/>
      <c r="I10" s="76" t="n"/>
      <c r="J10" s="75" t="n"/>
      <c r="K10" s="80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106" t="n"/>
      <c r="D11" s="75" t="n"/>
      <c r="E11" s="76" t="n"/>
      <c r="F11" s="92" t="n"/>
      <c r="G11" s="78" t="n"/>
      <c r="H11" s="93" t="n"/>
      <c r="I11" s="76" t="n"/>
      <c r="J11" s="75" t="n"/>
      <c r="K11" s="89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106" t="n"/>
      <c r="D12" s="75" t="n"/>
      <c r="E12" s="76" t="n"/>
      <c r="F12" s="92" t="n"/>
      <c r="G12" s="78" t="n"/>
      <c r="H12" s="93" t="n"/>
      <c r="I12" s="76" t="n"/>
      <c r="J12" s="75" t="n"/>
      <c r="K12" s="104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80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106" t="n"/>
      <c r="D14" s="75" t="n"/>
      <c r="E14" s="76" t="n"/>
      <c r="F14" s="92" t="n"/>
      <c r="G14" s="78" t="n"/>
      <c r="H14" s="93" t="n"/>
      <c r="I14" s="76" t="n"/>
      <c r="J14" s="75" t="n"/>
      <c r="K14" s="89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1" t="n"/>
      <c r="D15" s="75" t="n"/>
      <c r="E15" s="76" t="n"/>
      <c r="F15" s="92" t="n"/>
      <c r="G15" s="78" t="n"/>
      <c r="H15" s="93" t="n"/>
      <c r="I15" s="76" t="n"/>
      <c r="J15" s="75" t="n"/>
      <c r="K15" s="104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1" t="n"/>
      <c r="D16" s="75" t="n"/>
      <c r="E16" s="76" t="n"/>
      <c r="F16" s="92" t="n"/>
      <c r="G16" s="78" t="n"/>
      <c r="H16" s="93" t="n"/>
      <c r="I16" s="76" t="n"/>
      <c r="J16" s="75" t="n"/>
      <c r="K16" s="89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80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106" t="n"/>
      <c r="D18" s="75" t="n"/>
      <c r="E18" s="76" t="n"/>
      <c r="F18" s="92" t="n"/>
      <c r="G18" s="78" t="n"/>
      <c r="H18" s="93" t="n"/>
      <c r="I18" s="76" t="n"/>
      <c r="J18" s="75" t="n"/>
      <c r="K18" s="89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80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89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76" t="n"/>
      <c r="F21" s="92" t="n"/>
      <c r="G21" s="78" t="n"/>
      <c r="H21" s="93" t="n"/>
      <c r="I21" s="76" t="n"/>
      <c r="J21" s="75" t="n"/>
      <c r="K21" s="104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91" t="n"/>
      <c r="D22" s="75" t="n"/>
      <c r="E22" s="92" t="n"/>
      <c r="F22" s="92" t="n"/>
      <c r="G22" s="78" t="n"/>
      <c r="H22" s="93" t="n"/>
      <c r="I22" s="76" t="n"/>
      <c r="J22" s="75" t="n"/>
      <c r="K22" s="89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1" t="n"/>
      <c r="D23" s="75" t="n"/>
      <c r="E23" s="92" t="n"/>
      <c r="F23" s="92" t="n"/>
      <c r="G23" s="78" t="n"/>
      <c r="H23" s="93" t="n"/>
      <c r="I23" s="76" t="n"/>
      <c r="J23" s="75" t="n"/>
      <c r="K23" s="89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80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5" t="n"/>
      <c r="D25" s="75" t="n"/>
      <c r="E25" s="92" t="n"/>
      <c r="F25" s="92" t="n"/>
      <c r="G25" s="78" t="n"/>
      <c r="H25" s="79" t="n"/>
      <c r="I25" s="76" t="n"/>
      <c r="J25" s="75" t="n"/>
      <c r="K25" s="104" t="n"/>
      <c r="L25" s="8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97" t="n"/>
      <c r="C26" s="95" t="n"/>
      <c r="D26" s="99" t="n"/>
      <c r="E26" s="101" t="n"/>
      <c r="F26" s="101" t="n"/>
      <c r="G26" s="102" t="n"/>
      <c r="H26" s="79" t="n"/>
      <c r="I26" s="100" t="n"/>
      <c r="J26" s="99" t="n"/>
      <c r="K26" s="104" t="n"/>
      <c r="L26" s="90">
        <f>J26/D26</f>
        <v/>
      </c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95" t="n"/>
      <c r="D27" s="99" t="n"/>
      <c r="E27" s="101" t="n"/>
      <c r="F27" s="101" t="n"/>
      <c r="G27" s="102" t="n"/>
      <c r="H27" s="79" t="n"/>
      <c r="I27" s="100" t="n"/>
      <c r="J27" s="99" t="n"/>
      <c r="K27" s="174" t="n"/>
      <c r="L27" s="81">
        <f>J27/D27</f>
        <v/>
      </c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106" t="n"/>
      <c r="D28" s="99" t="n"/>
      <c r="E28" s="101" t="n"/>
      <c r="F28" s="101" t="n"/>
      <c r="G28" s="102" t="n"/>
      <c r="H28" s="79" t="n"/>
      <c r="I28" s="100" t="n"/>
      <c r="J28" s="99" t="n"/>
      <c r="K28" s="89" t="n"/>
      <c r="L28" s="81">
        <f>J28/D28</f>
        <v/>
      </c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95" t="n"/>
      <c r="D29" s="99" t="n"/>
      <c r="E29" s="101" t="n"/>
      <c r="F29" s="101" t="n"/>
      <c r="G29" s="102" t="n"/>
      <c r="H29" s="79" t="n"/>
      <c r="I29" s="100" t="n"/>
      <c r="J29" s="99" t="n"/>
      <c r="K29" s="80" t="n"/>
      <c r="L29" s="81">
        <f>J29/D29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97" t="n"/>
      <c r="C30" s="95" t="n"/>
      <c r="D30" s="99" t="n"/>
      <c r="E30" s="101" t="n"/>
      <c r="F30" s="101" t="n"/>
      <c r="G30" s="102" t="n"/>
      <c r="H30" s="79" t="n"/>
      <c r="I30" s="100" t="n"/>
      <c r="J30" s="99" t="n"/>
      <c r="K30" s="104" t="n"/>
      <c r="L30" s="81">
        <f>J30/D30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97" t="n"/>
      <c r="C31" s="95" t="n"/>
      <c r="D31" s="99" t="n"/>
      <c r="E31" s="101" t="n"/>
      <c r="F31" s="101" t="n"/>
      <c r="G31" s="102" t="n"/>
      <c r="H31" s="79" t="n"/>
      <c r="I31" s="100" t="n"/>
      <c r="J31" s="99" t="n"/>
      <c r="K31" s="89" t="n"/>
      <c r="L31" s="81">
        <f>J31/D31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SUM(J6,J9,J12,J15,J21,J25,J26,J30)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SUM(J11,J14,J16,J18,J20,J22,J23,J28,J31)+(J5/2)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SUM(J7,J8,J10,J13,J17,J19,J24,J29)+(J5/2)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33" workbookViewId="0">
      <selection activeCell="B37" sqref="B37:J41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2025年8月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160" t="n"/>
      <c r="C4" s="161" t="n"/>
      <c r="D4" s="162" t="n"/>
      <c r="E4" s="163" t="n"/>
      <c r="F4" s="164" t="n"/>
      <c r="G4" s="165" t="n"/>
      <c r="H4" s="166" t="n"/>
      <c r="I4" s="167" t="n"/>
      <c r="J4" s="70" t="n"/>
      <c r="K4" s="168" t="inlineStr">
        <is>
          <t>班　長</t>
        </is>
      </c>
      <c r="L4" s="1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127" t="n"/>
      <c r="C5" s="91" t="n"/>
      <c r="D5" s="75" t="n"/>
      <c r="E5" s="130" t="n"/>
      <c r="F5" s="170" t="n"/>
      <c r="G5" s="132" t="n"/>
      <c r="H5" s="93" t="n"/>
      <c r="I5" s="130" t="n"/>
      <c r="J5" s="129" t="n"/>
      <c r="K5" s="80" t="n"/>
      <c r="L5" s="81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127" t="n"/>
      <c r="C6" s="91" t="n"/>
      <c r="D6" s="84" t="n"/>
      <c r="E6" s="130" t="n"/>
      <c r="F6" s="131" t="n"/>
      <c r="G6" s="132" t="n"/>
      <c r="H6" s="93" t="n"/>
      <c r="I6" s="130" t="n"/>
      <c r="J6" s="129" t="n"/>
      <c r="K6" s="171" t="n"/>
      <c r="L6" s="81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104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91" t="n"/>
      <c r="D8" s="84" t="n"/>
      <c r="E8" s="85" t="n"/>
      <c r="F8" s="86" t="n"/>
      <c r="G8" s="87" t="n"/>
      <c r="H8" s="93" t="n"/>
      <c r="I8" s="85" t="n"/>
      <c r="J8" s="84" t="n"/>
      <c r="K8" s="171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1" t="n"/>
      <c r="D9" s="75" t="n"/>
      <c r="E9" s="76" t="n"/>
      <c r="F9" s="92" t="n"/>
      <c r="G9" s="78" t="n"/>
      <c r="H9" s="93" t="n"/>
      <c r="I9" s="76" t="n"/>
      <c r="J9" s="75" t="n"/>
      <c r="K9" s="80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1" t="n"/>
      <c r="D10" s="75" t="n"/>
      <c r="E10" s="76" t="n"/>
      <c r="F10" s="92" t="n"/>
      <c r="G10" s="78" t="n"/>
      <c r="H10" s="93" t="n"/>
      <c r="I10" s="76" t="n"/>
      <c r="J10" s="75" t="n"/>
      <c r="K10" s="171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106" t="n"/>
      <c r="D11" s="75" t="n"/>
      <c r="E11" s="76" t="n"/>
      <c r="F11" s="92" t="n"/>
      <c r="G11" s="78" t="n"/>
      <c r="H11" s="93" t="n"/>
      <c r="I11" s="76" t="n"/>
      <c r="J11" s="75" t="n"/>
      <c r="K11" s="89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106" t="n"/>
      <c r="D12" s="75" t="n"/>
      <c r="E12" s="76" t="n"/>
      <c r="F12" s="92" t="n"/>
      <c r="G12" s="78" t="n"/>
      <c r="H12" s="93" t="n"/>
      <c r="I12" s="76" t="n"/>
      <c r="J12" s="75" t="n"/>
      <c r="K12" s="80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106" t="n"/>
      <c r="D14" s="75" t="n"/>
      <c r="E14" s="76" t="n"/>
      <c r="F14" s="92" t="n"/>
      <c r="G14" s="78" t="n"/>
      <c r="H14" s="93" t="n"/>
      <c r="I14" s="172" t="n"/>
      <c r="J14" s="75" t="n"/>
      <c r="K14" s="80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106" t="n"/>
      <c r="D15" s="75" t="n"/>
      <c r="E15" s="76" t="n"/>
      <c r="F15" s="92" t="n"/>
      <c r="G15" s="78" t="n"/>
      <c r="H15" s="93" t="n"/>
      <c r="I15" s="76" t="n"/>
      <c r="J15" s="75" t="n"/>
      <c r="K15" s="89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1" t="n"/>
      <c r="D16" s="75" t="n"/>
      <c r="E16" s="76" t="n"/>
      <c r="F16" s="92" t="n"/>
      <c r="G16" s="78" t="n"/>
      <c r="H16" s="93" t="n"/>
      <c r="I16" s="76" t="n"/>
      <c r="J16" s="75" t="n"/>
      <c r="K16" s="80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104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76" t="n"/>
      <c r="F18" s="92" t="n"/>
      <c r="G18" s="78" t="n"/>
      <c r="H18" s="93" t="n"/>
      <c r="I18" s="76" t="n"/>
      <c r="J18" s="75" t="n"/>
      <c r="K18" s="104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104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106" t="n"/>
      <c r="D20" s="75" t="n"/>
      <c r="E20" s="92" t="n"/>
      <c r="F20" s="92" t="n"/>
      <c r="G20" s="78" t="n"/>
      <c r="H20" s="93" t="n"/>
      <c r="I20" s="76" t="n"/>
      <c r="J20" s="75" t="n"/>
      <c r="K20" s="89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76" t="n"/>
      <c r="F21" s="92" t="n"/>
      <c r="G21" s="78" t="n"/>
      <c r="H21" s="93" t="n"/>
      <c r="I21" s="76" t="n"/>
      <c r="J21" s="75" t="n"/>
      <c r="K21" s="171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106" t="n"/>
      <c r="D22" s="75" t="n"/>
      <c r="E22" s="92" t="n"/>
      <c r="F22" s="92" t="n"/>
      <c r="G22" s="78" t="n"/>
      <c r="H22" s="93" t="n"/>
      <c r="I22" s="76" t="n"/>
      <c r="J22" s="75" t="n"/>
      <c r="K22" s="80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1" t="n"/>
      <c r="D23" s="75" t="n"/>
      <c r="E23" s="92" t="n"/>
      <c r="F23" s="92" t="n"/>
      <c r="G23" s="78" t="n"/>
      <c r="H23" s="93" t="n"/>
      <c r="I23" s="76" t="n"/>
      <c r="J23" s="75" t="n"/>
      <c r="K23" s="104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89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1" t="n"/>
      <c r="D25" s="75" t="n"/>
      <c r="E25" s="92" t="n"/>
      <c r="F25" s="92" t="n"/>
      <c r="G25" s="78" t="n"/>
      <c r="H25" s="79" t="n"/>
      <c r="I25" s="76" t="n"/>
      <c r="J25" s="75" t="n"/>
      <c r="K25" s="80" t="n"/>
      <c r="L25" s="8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97" t="n"/>
      <c r="C26" s="91" t="n"/>
      <c r="D26" s="99" t="n"/>
      <c r="E26" s="101" t="n"/>
      <c r="F26" s="101" t="n"/>
      <c r="G26" s="102" t="n"/>
      <c r="H26" s="79" t="n"/>
      <c r="I26" s="100" t="n"/>
      <c r="J26" s="99" t="n"/>
      <c r="K26" s="157" t="n"/>
      <c r="L26" s="90">
        <f>J26/D26</f>
        <v/>
      </c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91" t="n"/>
      <c r="D27" s="99" t="n"/>
      <c r="E27" s="101" t="n"/>
      <c r="F27" s="101" t="n"/>
      <c r="G27" s="102" t="n"/>
      <c r="H27" s="79" t="n"/>
      <c r="I27" s="100" t="n"/>
      <c r="J27" s="99" t="n"/>
      <c r="K27" s="80" t="n"/>
      <c r="L27" s="81">
        <f>J27/D27</f>
        <v/>
      </c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91" t="n"/>
      <c r="D28" s="99" t="n"/>
      <c r="E28" s="101" t="n"/>
      <c r="F28" s="101" t="n"/>
      <c r="G28" s="102" t="n"/>
      <c r="H28" s="79" t="n"/>
      <c r="I28" s="100" t="n"/>
      <c r="J28" s="99" t="n"/>
      <c r="K28" s="80" t="n"/>
      <c r="L28" s="81">
        <f>J28/D28</f>
        <v/>
      </c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91" t="n"/>
      <c r="D29" s="99" t="n"/>
      <c r="E29" s="101" t="n"/>
      <c r="F29" s="101" t="n"/>
      <c r="G29" s="102" t="n"/>
      <c r="H29" s="79" t="n"/>
      <c r="I29" s="100" t="n"/>
      <c r="J29" s="99" t="n"/>
      <c r="K29" s="80" t="n"/>
      <c r="L29" s="81">
        <f>J29/D29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97" t="n"/>
      <c r="C30" s="95" t="n"/>
      <c r="D30" s="99" t="n"/>
      <c r="E30" s="101" t="n"/>
      <c r="F30" s="101" t="n"/>
      <c r="G30" s="102" t="n"/>
      <c r="H30" s="79" t="n"/>
      <c r="I30" s="100" t="n"/>
      <c r="J30" s="99">
        <f>D30-(E30+F30+G30+H30+I30)</f>
        <v/>
      </c>
      <c r="K30" s="80" t="n"/>
      <c r="L30" s="81">
        <f>J30/D30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97" t="n"/>
      <c r="C31" s="95" t="n"/>
      <c r="D31" s="99" t="n"/>
      <c r="E31" s="101" t="n"/>
      <c r="F31" s="101" t="n"/>
      <c r="G31" s="102" t="n"/>
      <c r="H31" s="79" t="n"/>
      <c r="I31" s="100" t="n"/>
      <c r="J31" s="99">
        <f>D31-(E31+F31+G31+H31+I31)</f>
        <v/>
      </c>
      <c r="K31" s="80" t="n"/>
      <c r="L31" s="81">
        <f>J31/D31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K38" s="121" t="inlineStr">
        <is>
          <t>山本</t>
        </is>
      </c>
      <c r="L38" s="38">
        <f>SUM(J7,J13,J17,J18,J19)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K39" s="122" t="inlineStr">
        <is>
          <t>熱田</t>
        </is>
      </c>
      <c r="L39" s="38">
        <f>SUM(J11,J15,J20)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K40" s="123" t="inlineStr">
        <is>
          <t>安保</t>
        </is>
      </c>
      <c r="L40" s="38">
        <f>SUM(J5,J9,J12,J14,J16,J22)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33" workbookViewId="0">
      <selection activeCell="E42" sqref="E42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2025年9月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62" t="n"/>
      <c r="C4" s="16" t="n"/>
      <c r="D4" s="64" t="inlineStr">
        <is>
          <t>①税 抜</t>
        </is>
      </c>
      <c r="E4" s="65" t="inlineStr">
        <is>
          <t>②社保</t>
        </is>
      </c>
      <c r="F4" s="66" t="inlineStr">
        <is>
          <t>③生産課</t>
        </is>
      </c>
      <c r="G4" s="67" t="inlineStr">
        <is>
          <t>④材料費</t>
        </is>
      </c>
      <c r="H4" s="68" t="n"/>
      <c r="I4" s="69" t="inlineStr">
        <is>
          <t>⑥外注 小 南 吾</t>
        </is>
      </c>
      <c r="J4" s="70" t="inlineStr">
        <is>
          <t>⑦粗利益</t>
        </is>
      </c>
      <c r="K4" s="71" t="inlineStr">
        <is>
          <t>班　長</t>
        </is>
      </c>
      <c r="L4" s="72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146" t="n">
        <v>1</v>
      </c>
      <c r="B5" s="147" t="n"/>
      <c r="C5" s="148" t="n"/>
      <c r="D5" s="149" t="n"/>
      <c r="E5" s="150" t="n"/>
      <c r="F5" s="151" t="n"/>
      <c r="G5" s="152" t="n"/>
      <c r="H5" s="153" t="n"/>
      <c r="I5" s="150" t="n"/>
      <c r="J5" s="149" t="n"/>
      <c r="K5" s="154" t="n"/>
      <c r="L5" s="155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82" t="n"/>
      <c r="C6" s="83" t="n"/>
      <c r="D6" s="84" t="n"/>
      <c r="E6" s="85" t="n"/>
      <c r="F6" s="86" t="n"/>
      <c r="G6" s="87" t="n"/>
      <c r="H6" s="88" t="n"/>
      <c r="I6" s="85" t="n"/>
      <c r="J6" s="84" t="n"/>
      <c r="K6" s="156" t="n"/>
      <c r="L6" s="90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104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82" t="n"/>
      <c r="C8" s="106" t="n"/>
      <c r="D8" s="84" t="n"/>
      <c r="E8" s="85" t="n"/>
      <c r="F8" s="86" t="n"/>
      <c r="G8" s="87" t="n"/>
      <c r="H8" s="93" t="n"/>
      <c r="I8" s="85" t="n"/>
      <c r="J8" s="84" t="n"/>
      <c r="K8" s="104" t="n"/>
      <c r="L8" s="81">
        <f>J8/D8</f>
        <v/>
      </c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73" t="n"/>
      <c r="C9" s="91" t="n"/>
      <c r="D9" s="75" t="n"/>
      <c r="E9" s="76" t="n"/>
      <c r="F9" s="92" t="n"/>
      <c r="G9" s="78" t="n"/>
      <c r="H9" s="93" t="n"/>
      <c r="I9" s="76" t="n"/>
      <c r="J9" s="75" t="n"/>
      <c r="K9" s="104" t="n"/>
      <c r="L9" s="81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1" t="n"/>
      <c r="D10" s="75" t="n"/>
      <c r="E10" s="76" t="n"/>
      <c r="F10" s="92" t="n"/>
      <c r="G10" s="78" t="n"/>
      <c r="H10" s="93" t="n"/>
      <c r="I10" s="76" t="n"/>
      <c r="J10" s="75" t="n"/>
      <c r="K10" s="104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76" t="n"/>
      <c r="F11" s="92" t="n"/>
      <c r="G11" s="78" t="n"/>
      <c r="H11" s="93" t="n"/>
      <c r="I11" s="76" t="n"/>
      <c r="J11" s="75" t="n"/>
      <c r="K11" s="104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91" t="n"/>
      <c r="D12" s="75" t="n"/>
      <c r="E12" s="76" t="n"/>
      <c r="F12" s="92" t="n"/>
      <c r="G12" s="78" t="n"/>
      <c r="H12" s="93" t="n"/>
      <c r="I12" s="76" t="n"/>
      <c r="J12" s="75" t="n"/>
      <c r="K12" s="89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91" t="n"/>
      <c r="D14" s="75" t="n"/>
      <c r="E14" s="76" t="n"/>
      <c r="F14" s="92" t="n"/>
      <c r="G14" s="78" t="n"/>
      <c r="H14" s="93" t="n"/>
      <c r="I14" s="76" t="n"/>
      <c r="J14" s="75" t="n"/>
      <c r="K14" s="80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1" t="n"/>
      <c r="D15" s="75" t="n"/>
      <c r="E15" s="76" t="n"/>
      <c r="F15" s="92" t="n"/>
      <c r="G15" s="78" t="n"/>
      <c r="H15" s="93" t="n"/>
      <c r="I15" s="76" t="n"/>
      <c r="J15" s="75" t="n"/>
      <c r="K15" s="104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1" t="n"/>
      <c r="D16" s="75" t="n"/>
      <c r="E16" s="76" t="n"/>
      <c r="F16" s="92" t="n"/>
      <c r="G16" s="78" t="n"/>
      <c r="H16" s="93" t="n"/>
      <c r="I16" s="76" t="n"/>
      <c r="J16" s="75" t="n"/>
      <c r="K16" s="89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89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106" t="n"/>
      <c r="D18" s="75" t="n"/>
      <c r="E18" s="76" t="n"/>
      <c r="F18" s="92" t="n"/>
      <c r="G18" s="78" t="n"/>
      <c r="H18" s="93" t="n"/>
      <c r="I18" s="76" t="n"/>
      <c r="J18" s="75" t="n"/>
      <c r="K18" s="80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89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80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76" t="n"/>
      <c r="F21" s="92" t="n"/>
      <c r="G21" s="78" t="n"/>
      <c r="H21" s="93" t="n"/>
      <c r="I21" s="76" t="n"/>
      <c r="J21" s="75" t="n"/>
      <c r="K21" s="89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91" t="n"/>
      <c r="D22" s="75" t="n"/>
      <c r="E22" s="92" t="n"/>
      <c r="F22" s="92" t="n"/>
      <c r="G22" s="78" t="n"/>
      <c r="H22" s="93" t="n"/>
      <c r="I22" s="76" t="n"/>
      <c r="J22" s="75" t="n"/>
      <c r="K22" s="104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91" t="n"/>
      <c r="D23" s="75" t="n"/>
      <c r="E23" s="92" t="n"/>
      <c r="F23" s="92" t="n"/>
      <c r="G23" s="78" t="n"/>
      <c r="H23" s="93" t="n"/>
      <c r="I23" s="76" t="n"/>
      <c r="J23" s="75" t="n"/>
      <c r="K23" s="104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80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1" t="n"/>
      <c r="D25" s="75" t="n"/>
      <c r="E25" s="92" t="n"/>
      <c r="F25" s="92" t="n"/>
      <c r="G25" s="78" t="n"/>
      <c r="H25" s="79" t="n"/>
      <c r="I25" s="76" t="n"/>
      <c r="J25" s="75" t="n"/>
      <c r="K25" s="104" t="n"/>
      <c r="L25" s="8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97" t="n"/>
      <c r="C26" s="91" t="n"/>
      <c r="D26" s="99" t="n"/>
      <c r="E26" s="101" t="n"/>
      <c r="F26" s="101" t="n"/>
      <c r="G26" s="102" t="n"/>
      <c r="H26" s="79" t="n"/>
      <c r="I26" s="100" t="n"/>
      <c r="J26" s="99" t="n"/>
      <c r="K26" s="157" t="n"/>
      <c r="L26" s="90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91" t="n"/>
      <c r="D27" s="99" t="n"/>
      <c r="E27" s="101" t="n"/>
      <c r="F27" s="101" t="n"/>
      <c r="G27" s="102" t="n"/>
      <c r="H27" s="79" t="n"/>
      <c r="I27" s="100" t="n"/>
      <c r="J27" s="99" t="n"/>
      <c r="K27" s="80" t="n"/>
      <c r="L27" s="81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91" t="n"/>
      <c r="D28" s="99" t="n"/>
      <c r="E28" s="101" t="n"/>
      <c r="F28" s="101" t="n"/>
      <c r="G28" s="102" t="n"/>
      <c r="H28" s="79" t="n"/>
      <c r="I28" s="100" t="n"/>
      <c r="J28" s="99" t="n"/>
      <c r="K28" s="80" t="n"/>
      <c r="L28" s="81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91" t="n"/>
      <c r="D29" s="99" t="n"/>
      <c r="E29" s="101" t="n"/>
      <c r="F29" s="101" t="n"/>
      <c r="G29" s="102" t="n"/>
      <c r="H29" s="79" t="n"/>
      <c r="I29" s="100" t="n"/>
      <c r="J29" s="99" t="n"/>
      <c r="K29" s="80" t="n"/>
      <c r="L29" s="81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97" t="n"/>
      <c r="C30" s="95" t="n"/>
      <c r="D30" s="99" t="n"/>
      <c r="E30" s="101" t="n"/>
      <c r="F30" s="101" t="n"/>
      <c r="G30" s="102" t="n"/>
      <c r="H30" s="79" t="n"/>
      <c r="I30" s="100" t="n"/>
      <c r="J30" s="99" t="n"/>
      <c r="K30" s="80" t="n"/>
      <c r="L30" s="8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97" t="n"/>
      <c r="C31" s="95" t="n"/>
      <c r="D31" s="99" t="n"/>
      <c r="E31" s="101" t="n"/>
      <c r="F31" s="101" t="n"/>
      <c r="G31" s="102" t="n"/>
      <c r="H31" s="79" t="n"/>
      <c r="I31" s="100" t="n"/>
      <c r="J31" s="99" t="n"/>
      <c r="K31" s="80" t="n"/>
      <c r="L31" s="81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n"/>
      <c r="K37" s="158" t="n"/>
      <c r="L37" s="159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1.75" customHeight="1" s="335">
      <c r="A38" s="7" t="n"/>
      <c r="K38" s="121" t="inlineStr">
        <is>
          <t>山本</t>
        </is>
      </c>
      <c r="L38" s="38">
        <f>SUM(J5,J8,J9,J10,J11,J13,J15,J22,J23,J25)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1.75" customHeight="1" s="335">
      <c r="A39" s="7" t="n"/>
      <c r="K39" s="122" t="inlineStr">
        <is>
          <t>熱田</t>
        </is>
      </c>
      <c r="L39" s="38">
        <f>SUM(J12,J16,J17,J19,J21)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1.75" customHeight="1" s="335">
      <c r="A40" s="7" t="n"/>
      <c r="K40" s="123" t="inlineStr">
        <is>
          <t>安保</t>
        </is>
      </c>
      <c r="L40" s="38">
        <f>SUM(J14,J18,J20,J24)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1.75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E9" sqref="E9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2025年10月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62" t="n"/>
      <c r="C4" s="16" t="n"/>
      <c r="D4" s="64" t="inlineStr">
        <is>
          <t>①税 抜</t>
        </is>
      </c>
      <c r="E4" s="65" t="inlineStr">
        <is>
          <t>②社保</t>
        </is>
      </c>
      <c r="F4" s="66" t="inlineStr">
        <is>
          <t>③生産課</t>
        </is>
      </c>
      <c r="G4" s="67" t="inlineStr">
        <is>
          <t>④材料費</t>
        </is>
      </c>
      <c r="H4" s="68" t="n"/>
      <c r="I4" s="69" t="inlineStr">
        <is>
          <t>⑥外注 小 南 吾</t>
        </is>
      </c>
      <c r="J4" s="70" t="inlineStr">
        <is>
          <t>⑦粗利益</t>
        </is>
      </c>
      <c r="K4" s="71" t="inlineStr">
        <is>
          <t>班　長</t>
        </is>
      </c>
      <c r="L4" s="72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73" t="n"/>
      <c r="C5" s="106" t="n"/>
      <c r="D5" s="75" t="n"/>
      <c r="E5" s="76" t="n"/>
      <c r="F5" s="77" t="n"/>
      <c r="G5" s="78" t="n"/>
      <c r="H5" s="79" t="n"/>
      <c r="I5" s="76" t="n"/>
      <c r="J5" s="75" t="n"/>
      <c r="K5" s="80" t="n"/>
      <c r="L5" s="126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82" t="n"/>
      <c r="C6" s="83" t="n"/>
      <c r="D6" s="84" t="n"/>
      <c r="E6" s="85" t="n"/>
      <c r="F6" s="86" t="n"/>
      <c r="G6" s="87" t="n"/>
      <c r="H6" s="88" t="n"/>
      <c r="I6" s="85" t="n"/>
      <c r="J6" s="84" t="n"/>
      <c r="K6" s="89" t="n"/>
      <c r="L6" s="90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127" t="n"/>
      <c r="C7" s="128" t="n"/>
      <c r="D7" s="129" t="n"/>
      <c r="E7" s="130" t="n"/>
      <c r="F7" s="131" t="n"/>
      <c r="G7" s="132" t="n"/>
      <c r="H7" s="93" t="n"/>
      <c r="I7" s="130" t="n"/>
      <c r="J7" s="129" t="n"/>
      <c r="K7" s="133" t="n"/>
      <c r="L7" s="134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135" t="n">
        <v>4</v>
      </c>
      <c r="B8" s="136" t="n"/>
      <c r="C8" s="137" t="n"/>
      <c r="D8" s="138" t="n"/>
      <c r="E8" s="139" t="n"/>
      <c r="F8" s="140" t="n"/>
      <c r="G8" s="141" t="n"/>
      <c r="H8" s="142" t="n"/>
      <c r="I8" s="139" t="n"/>
      <c r="J8" s="138" t="n"/>
      <c r="K8" s="143" t="n"/>
      <c r="L8" s="144">
        <f>J8/D8</f>
        <v/>
      </c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7" customHeight="1" s="335">
      <c r="A9" s="7" t="n">
        <v>5</v>
      </c>
      <c r="B9" s="97" t="n"/>
      <c r="C9" s="103" t="n"/>
      <c r="D9" s="99" t="n"/>
      <c r="E9" s="100" t="n"/>
      <c r="F9" s="101" t="n"/>
      <c r="G9" s="102" t="n"/>
      <c r="H9" s="88" t="n"/>
      <c r="I9" s="100" t="n"/>
      <c r="J9" s="99" t="n"/>
      <c r="K9" s="145" t="n"/>
      <c r="L9" s="90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91" t="n"/>
      <c r="D10" s="75" t="n"/>
      <c r="E10" s="76" t="n"/>
      <c r="F10" s="92" t="n"/>
      <c r="G10" s="78" t="n"/>
      <c r="H10" s="93" t="n"/>
      <c r="I10" s="76" t="n"/>
      <c r="J10" s="75" t="n"/>
      <c r="K10" s="80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1" t="n"/>
      <c r="D11" s="75" t="n"/>
      <c r="E11" s="76" t="n"/>
      <c r="F11" s="92" t="n"/>
      <c r="G11" s="78" t="n"/>
      <c r="H11" s="93" t="n"/>
      <c r="I11" s="76" t="n"/>
      <c r="J11" s="75" t="n"/>
      <c r="K11" s="89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91" t="n"/>
      <c r="D12" s="75" t="n"/>
      <c r="E12" s="76" t="n"/>
      <c r="F12" s="92" t="n"/>
      <c r="G12" s="78" t="n"/>
      <c r="H12" s="93" t="n"/>
      <c r="I12" s="76" t="n"/>
      <c r="J12" s="75" t="n"/>
      <c r="K12" s="89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91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91" t="n"/>
      <c r="D14" s="75" t="n"/>
      <c r="E14" s="76" t="n"/>
      <c r="F14" s="92" t="n"/>
      <c r="G14" s="78" t="n"/>
      <c r="H14" s="93" t="n"/>
      <c r="I14" s="76" t="n"/>
      <c r="J14" s="75" t="n"/>
      <c r="K14" s="89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91" t="n"/>
      <c r="D15" s="75" t="n"/>
      <c r="E15" s="76" t="n"/>
      <c r="F15" s="92" t="n"/>
      <c r="G15" s="78" t="n"/>
      <c r="H15" s="93" t="n"/>
      <c r="I15" s="76" t="n"/>
      <c r="J15" s="75" t="n"/>
      <c r="K15" s="80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1" t="n"/>
      <c r="D16" s="75" t="n"/>
      <c r="E16" s="76" t="n"/>
      <c r="F16" s="92" t="n"/>
      <c r="G16" s="78" t="n"/>
      <c r="H16" s="93" t="n"/>
      <c r="I16" s="76" t="n"/>
      <c r="J16" s="75" t="n"/>
      <c r="K16" s="105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104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1" t="n"/>
      <c r="D18" s="75" t="n"/>
      <c r="E18" s="76" t="n"/>
      <c r="F18" s="92" t="n"/>
      <c r="G18" s="78" t="n"/>
      <c r="H18" s="93" t="n"/>
      <c r="I18" s="76" t="n"/>
      <c r="J18" s="75" t="n"/>
      <c r="K18" s="105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91" t="n"/>
      <c r="D19" s="75" t="n"/>
      <c r="E19" s="76" t="n"/>
      <c r="F19" s="92" t="n"/>
      <c r="G19" s="78" t="n"/>
      <c r="H19" s="93" t="n"/>
      <c r="I19" s="76" t="n"/>
      <c r="J19" s="75" t="n"/>
      <c r="K19" s="80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104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76" t="n"/>
      <c r="F21" s="92" t="n"/>
      <c r="G21" s="78" t="n"/>
      <c r="H21" s="93" t="n"/>
      <c r="I21" s="76" t="n"/>
      <c r="J21" s="75" t="n"/>
      <c r="K21" s="80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91" t="n"/>
      <c r="D22" s="75" t="n"/>
      <c r="E22" s="92" t="n"/>
      <c r="F22" s="92" t="n"/>
      <c r="G22" s="78" t="n"/>
      <c r="H22" s="93" t="n"/>
      <c r="I22" s="76" t="n"/>
      <c r="J22" s="75" t="n"/>
      <c r="K22" s="105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106" t="n"/>
      <c r="D23" s="75" t="n"/>
      <c r="E23" s="92" t="n"/>
      <c r="F23" s="92" t="n"/>
      <c r="G23" s="78" t="n"/>
      <c r="H23" s="93" t="n"/>
      <c r="I23" s="76" t="n"/>
      <c r="J23" s="75" t="n"/>
      <c r="K23" s="105" t="n"/>
      <c r="L23" s="81">
        <f>J23/D23</f>
        <v/>
      </c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104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1" t="n"/>
      <c r="D25" s="75" t="n"/>
      <c r="E25" s="92" t="n"/>
      <c r="F25" s="92" t="n"/>
      <c r="G25" s="78" t="n"/>
      <c r="H25" s="79" t="n"/>
      <c r="I25" s="76" t="n"/>
      <c r="J25" s="75" t="n"/>
      <c r="K25" s="89" t="n"/>
      <c r="L25" s="81">
        <f>J25/D25</f>
        <v/>
      </c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97" t="n"/>
      <c r="C26" s="91" t="n"/>
      <c r="D26" s="99" t="n"/>
      <c r="E26" s="101" t="n"/>
      <c r="F26" s="101" t="n"/>
      <c r="G26" s="102" t="n"/>
      <c r="H26" s="79" t="n"/>
      <c r="I26" s="100" t="n"/>
      <c r="J26" s="75" t="n"/>
      <c r="K26" s="104" t="n"/>
      <c r="L26" s="81">
        <f>J26/D26</f>
        <v/>
      </c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91" t="n"/>
      <c r="D27" s="99" t="n"/>
      <c r="E27" s="101" t="n"/>
      <c r="F27" s="101" t="n"/>
      <c r="G27" s="102" t="n"/>
      <c r="H27" s="79" t="n"/>
      <c r="I27" s="100" t="n"/>
      <c r="J27" s="75" t="n"/>
      <c r="K27" s="104" t="n"/>
      <c r="L27" s="81">
        <f>J27/D27</f>
        <v/>
      </c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91" t="n"/>
      <c r="D28" s="99" t="n"/>
      <c r="E28" s="101" t="n"/>
      <c r="F28" s="101" t="n"/>
      <c r="G28" s="102" t="n"/>
      <c r="H28" s="79" t="n"/>
      <c r="I28" s="100" t="n"/>
      <c r="J28" s="75" t="n"/>
      <c r="K28" s="104" t="n"/>
      <c r="L28" s="81">
        <f>J28/D28</f>
        <v/>
      </c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91" t="n"/>
      <c r="D29" s="99" t="n"/>
      <c r="E29" s="101" t="n"/>
      <c r="F29" s="101" t="n"/>
      <c r="G29" s="102" t="n"/>
      <c r="H29" s="79" t="n"/>
      <c r="I29" s="100" t="n"/>
      <c r="J29" s="75" t="n"/>
      <c r="K29" s="104" t="n"/>
      <c r="L29" s="81">
        <f>J29/D29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97" t="n"/>
      <c r="C30" s="95" t="n"/>
      <c r="D30" s="99" t="n"/>
      <c r="E30" s="101" t="n"/>
      <c r="F30" s="101" t="n"/>
      <c r="G30" s="102" t="n"/>
      <c r="H30" s="79" t="n"/>
      <c r="I30" s="100" t="n"/>
      <c r="J30" s="75" t="n"/>
      <c r="K30" s="104" t="n"/>
      <c r="L30" s="81">
        <f>J30/D30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97" t="n"/>
      <c r="C31" s="95" t="n"/>
      <c r="D31" s="99" t="n"/>
      <c r="E31" s="101" t="n"/>
      <c r="F31" s="101" t="n"/>
      <c r="G31" s="102" t="n"/>
      <c r="H31" s="79" t="n"/>
      <c r="I31" s="100" t="n"/>
      <c r="J31" s="99" t="n"/>
      <c r="K31" s="80" t="n"/>
      <c r="L31" s="81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inlineStr">
        <is>
          <t>①藤田    元子様邸　　→　他の現場予備でシートを3本　仕入
※現場着工後の【追加工事】費用について、各班長にて再確認　→　支払依頼書へ反映されているかも
※※今後、上記の追加工事費用をAJより支払していただく為の、社内共通ルールを検討</t>
        </is>
      </c>
      <c r="K37" s="120" t="inlineStr">
        <is>
          <t>asai</t>
        </is>
      </c>
      <c r="L37" s="38">
        <f>SUM(J16,J18,J22,J23)</f>
        <v/>
      </c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1.75" customHeight="1" s="335">
      <c r="A38" s="7" t="n"/>
      <c r="K38" s="121" t="inlineStr">
        <is>
          <t>山本</t>
        </is>
      </c>
      <c r="L38" s="38">
        <f>SUM(J8,J9,J13,J17,J20,J24,J26,J27,J28,J29,J30)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1.75" customHeight="1" s="335">
      <c r="A39" s="7" t="n"/>
      <c r="K39" s="122" t="inlineStr">
        <is>
          <t>熱田</t>
        </is>
      </c>
      <c r="L39" s="38">
        <f>SUM(J6,J11,J12,J14,J25)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1.75" customHeight="1" s="335">
      <c r="A40" s="7" t="n"/>
      <c r="K40" s="123" t="inlineStr">
        <is>
          <t>安保</t>
        </is>
      </c>
      <c r="L40" s="38">
        <f>SUM(J5,J7,J10,J15,J19,J21)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1.75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F8" sqref="F8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2025年11月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54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55" t="inlineStr">
        <is>
          <t>顧客名</t>
        </is>
      </c>
      <c r="C3" s="56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61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62" t="n"/>
      <c r="C4" s="63" t="n"/>
      <c r="D4" s="64" t="inlineStr">
        <is>
          <t>①税 抜</t>
        </is>
      </c>
      <c r="E4" s="65" t="inlineStr">
        <is>
          <t>②社保</t>
        </is>
      </c>
      <c r="F4" s="66" t="inlineStr">
        <is>
          <t>③生産課</t>
        </is>
      </c>
      <c r="G4" s="67" t="inlineStr">
        <is>
          <t>④材料費</t>
        </is>
      </c>
      <c r="H4" s="68" t="inlineStr">
        <is>
          <t>用田</t>
        </is>
      </c>
      <c r="I4" s="69" t="inlineStr">
        <is>
          <t>⑥外注 小 南 吾</t>
        </is>
      </c>
      <c r="J4" s="70" t="inlineStr">
        <is>
          <t>⑦粗利益</t>
        </is>
      </c>
      <c r="K4" s="71" t="inlineStr">
        <is>
          <t>班　長</t>
        </is>
      </c>
      <c r="L4" s="72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73" t="n"/>
      <c r="C5" s="74" t="n"/>
      <c r="D5" s="75" t="n"/>
      <c r="E5" s="76" t="n"/>
      <c r="F5" s="77" t="n"/>
      <c r="G5" s="78" t="n"/>
      <c r="H5" s="79" t="n"/>
      <c r="I5" s="76" t="n"/>
      <c r="J5" s="75" t="n"/>
      <c r="K5" s="80" t="n"/>
      <c r="L5" s="81">
        <f>J5/D5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82" t="n"/>
      <c r="C6" s="83" t="n"/>
      <c r="D6" s="84" t="n"/>
      <c r="E6" s="85" t="n"/>
      <c r="F6" s="86" t="n"/>
      <c r="G6" s="87" t="n"/>
      <c r="H6" s="88" t="n"/>
      <c r="I6" s="85" t="n"/>
      <c r="J6" s="84" t="n"/>
      <c r="K6" s="89" t="n"/>
      <c r="L6" s="90">
        <f>J6/D6</f>
        <v/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73" t="n"/>
      <c r="C7" s="91" t="n"/>
      <c r="D7" s="75" t="n"/>
      <c r="E7" s="76" t="n"/>
      <c r="F7" s="92" t="n"/>
      <c r="G7" s="78" t="n"/>
      <c r="H7" s="93" t="n"/>
      <c r="I7" s="76" t="n"/>
      <c r="J7" s="75" t="n"/>
      <c r="K7" s="89" t="n"/>
      <c r="L7" s="81">
        <f>J7/D7</f>
        <v/>
      </c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94" t="n">
        <v>4</v>
      </c>
      <c r="B8" s="73" t="n"/>
      <c r="C8" s="95" t="n"/>
      <c r="D8" s="75" t="n"/>
      <c r="E8" s="76" t="n"/>
      <c r="F8" s="92" t="n"/>
      <c r="G8" s="78" t="n"/>
      <c r="H8" s="93" t="n"/>
      <c r="I8" s="76" t="n"/>
      <c r="J8" s="75" t="n"/>
      <c r="K8" s="96" t="n"/>
      <c r="L8" s="81">
        <f>J8/D8</f>
        <v/>
      </c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</row>
    <row r="9" ht="27" customHeight="1" s="335">
      <c r="A9" s="7" t="n">
        <v>5</v>
      </c>
      <c r="B9" s="97" t="n"/>
      <c r="C9" s="98" t="n"/>
      <c r="D9" s="99" t="n"/>
      <c r="E9" s="100" t="n"/>
      <c r="F9" s="101" t="n"/>
      <c r="G9" s="102" t="n"/>
      <c r="H9" s="93" t="n"/>
      <c r="I9" s="100" t="n"/>
      <c r="J9" s="99" t="n"/>
      <c r="K9" s="89" t="n"/>
      <c r="L9" s="90">
        <f>J9/D9</f>
        <v/>
      </c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27" customHeight="1" s="335">
      <c r="A10" s="7" t="n">
        <v>6</v>
      </c>
      <c r="B10" s="73" t="n"/>
      <c r="C10" s="103" t="n"/>
      <c r="D10" s="75" t="n"/>
      <c r="E10" s="76" t="n"/>
      <c r="F10" s="92" t="n"/>
      <c r="G10" s="78" t="n"/>
      <c r="H10" s="93" t="n"/>
      <c r="I10" s="76" t="n"/>
      <c r="J10" s="75" t="n"/>
      <c r="K10" s="89" t="n"/>
      <c r="L10" s="81">
        <f>J10/D10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27" customHeight="1" s="335">
      <c r="A11" s="7" t="n">
        <v>7</v>
      </c>
      <c r="B11" s="73" t="n"/>
      <c r="C11" s="98" t="n"/>
      <c r="D11" s="75" t="n"/>
      <c r="E11" s="76" t="n"/>
      <c r="F11" s="92" t="n"/>
      <c r="G11" s="78" t="n"/>
      <c r="H11" s="93" t="n"/>
      <c r="I11" s="76" t="n"/>
      <c r="J11" s="75" t="n"/>
      <c r="K11" s="80" t="n"/>
      <c r="L11" s="81">
        <f>J11/D11</f>
        <v/>
      </c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7" customHeight="1" s="335">
      <c r="A12" s="7" t="n">
        <v>8</v>
      </c>
      <c r="B12" s="73" t="n"/>
      <c r="C12" s="103" t="n"/>
      <c r="D12" s="75" t="n"/>
      <c r="E12" s="76" t="n"/>
      <c r="F12" s="92" t="n"/>
      <c r="G12" s="78" t="n"/>
      <c r="H12" s="93" t="n"/>
      <c r="I12" s="76" t="n"/>
      <c r="J12" s="75" t="n"/>
      <c r="K12" s="80" t="n"/>
      <c r="L12" s="81">
        <f>J12/D12</f>
        <v/>
      </c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73" t="n"/>
      <c r="C13" s="103" t="n"/>
      <c r="D13" s="75" t="n"/>
      <c r="E13" s="76" t="n"/>
      <c r="F13" s="92" t="n"/>
      <c r="G13" s="78" t="n"/>
      <c r="H13" s="93" t="n"/>
      <c r="I13" s="76" t="n"/>
      <c r="J13" s="75" t="n"/>
      <c r="K13" s="104" t="n"/>
      <c r="L13" s="81">
        <f>J13/D13</f>
        <v/>
      </c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73" t="n"/>
      <c r="C14" s="103" t="n"/>
      <c r="D14" s="75" t="n"/>
      <c r="E14" s="76" t="n"/>
      <c r="F14" s="92" t="n"/>
      <c r="G14" s="78" t="n"/>
      <c r="H14" s="93" t="n"/>
      <c r="I14" s="76" t="n"/>
      <c r="J14" s="75" t="n"/>
      <c r="K14" s="80" t="n"/>
      <c r="L14" s="81">
        <f>J14/D14</f>
        <v/>
      </c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73" t="n"/>
      <c r="C15" s="103" t="n"/>
      <c r="D15" s="75" t="n"/>
      <c r="E15" s="76" t="n"/>
      <c r="F15" s="92" t="n"/>
      <c r="G15" s="78" t="n"/>
      <c r="H15" s="93" t="n"/>
      <c r="I15" s="76" t="n"/>
      <c r="J15" s="75" t="n"/>
      <c r="K15" s="80" t="n"/>
      <c r="L15" s="81">
        <f>J15/D15</f>
        <v/>
      </c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73" t="n"/>
      <c r="C16" s="91" t="n"/>
      <c r="D16" s="75" t="n"/>
      <c r="E16" s="76" t="n"/>
      <c r="F16" s="92" t="n"/>
      <c r="G16" s="78" t="n"/>
      <c r="H16" s="93" t="n"/>
      <c r="I16" s="76" t="n"/>
      <c r="J16" s="75" t="n"/>
      <c r="K16" s="104" t="n"/>
      <c r="L16" s="81">
        <f>J16/D16</f>
        <v/>
      </c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73" t="n"/>
      <c r="C17" s="91" t="n"/>
      <c r="D17" s="75" t="n"/>
      <c r="E17" s="76" t="n"/>
      <c r="F17" s="92" t="n"/>
      <c r="G17" s="78" t="n"/>
      <c r="H17" s="93" t="n"/>
      <c r="I17" s="76" t="n"/>
      <c r="J17" s="75" t="n"/>
      <c r="K17" s="105" t="n"/>
      <c r="L17" s="81">
        <f>J17/D17</f>
        <v/>
      </c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73" t="n"/>
      <c r="C18" s="98" t="n"/>
      <c r="D18" s="75" t="n"/>
      <c r="E18" s="76" t="n"/>
      <c r="F18" s="92" t="n"/>
      <c r="G18" s="78" t="n"/>
      <c r="H18" s="93" t="n"/>
      <c r="I18" s="76" t="n"/>
      <c r="J18" s="75" t="n"/>
      <c r="K18" s="89" t="n"/>
      <c r="L18" s="81">
        <f>J18/D18</f>
        <v/>
      </c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73" t="n"/>
      <c r="C19" s="103" t="n"/>
      <c r="D19" s="75" t="n"/>
      <c r="E19" s="76" t="n"/>
      <c r="F19" s="92" t="n"/>
      <c r="G19" s="78" t="n"/>
      <c r="H19" s="93" t="n"/>
      <c r="I19" s="76" t="n"/>
      <c r="J19" s="75" t="n"/>
      <c r="K19" s="104" t="n"/>
      <c r="L19" s="81">
        <f>J19/D19</f>
        <v/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73" t="n"/>
      <c r="C20" s="91" t="n"/>
      <c r="D20" s="75" t="n"/>
      <c r="E20" s="92" t="n"/>
      <c r="F20" s="92" t="n"/>
      <c r="G20" s="78" t="n"/>
      <c r="H20" s="93" t="n"/>
      <c r="I20" s="76" t="n"/>
      <c r="J20" s="75" t="n"/>
      <c r="K20" s="105" t="n"/>
      <c r="L20" s="81">
        <f>J20/D20</f>
        <v/>
      </c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73" t="n"/>
      <c r="C21" s="91" t="n"/>
      <c r="D21" s="75" t="n"/>
      <c r="E21" s="76" t="n"/>
      <c r="F21" s="92" t="n"/>
      <c r="G21" s="78" t="n"/>
      <c r="H21" s="93" t="n"/>
      <c r="I21" s="76" t="n"/>
      <c r="J21" s="75" t="n"/>
      <c r="K21" s="105" t="n"/>
      <c r="L21" s="81">
        <f>J21/D21</f>
        <v/>
      </c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73" t="n"/>
      <c r="C22" s="91" t="n"/>
      <c r="D22" s="75" t="n"/>
      <c r="E22" s="92" t="n"/>
      <c r="F22" s="92" t="n"/>
      <c r="G22" s="78" t="n"/>
      <c r="H22" s="93" t="n"/>
      <c r="I22" s="76" t="n"/>
      <c r="J22" s="75" t="n"/>
      <c r="K22" s="80" t="n"/>
      <c r="L22" s="81">
        <f>J22/D22</f>
        <v/>
      </c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>
        <v>19</v>
      </c>
      <c r="B23" s="73" t="n"/>
      <c r="C23" s="106" t="n"/>
      <c r="D23" s="75" t="n"/>
      <c r="E23" s="92" t="n"/>
      <c r="F23" s="92" t="n"/>
      <c r="G23" s="78" t="n"/>
      <c r="H23" s="93" t="n"/>
      <c r="I23" s="76" t="n"/>
      <c r="J23" s="75" t="n"/>
      <c r="K23" s="107" t="n"/>
      <c r="L23" s="81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>
        <v>20</v>
      </c>
      <c r="B24" s="73" t="n"/>
      <c r="C24" s="91" t="n"/>
      <c r="D24" s="75" t="n"/>
      <c r="E24" s="92" t="n"/>
      <c r="F24" s="92" t="n"/>
      <c r="G24" s="78" t="n"/>
      <c r="H24" s="93" t="n"/>
      <c r="I24" s="76" t="n"/>
      <c r="J24" s="75" t="n"/>
      <c r="K24" s="96" t="n"/>
      <c r="L24" s="8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>
        <v>21</v>
      </c>
      <c r="B25" s="73" t="n"/>
      <c r="C25" s="91" t="n"/>
      <c r="D25" s="75" t="n"/>
      <c r="E25" s="92" t="n"/>
      <c r="F25" s="92" t="n"/>
      <c r="G25" s="78" t="n"/>
      <c r="H25" s="79" t="n"/>
      <c r="I25" s="76" t="n"/>
      <c r="J25" s="75" t="n"/>
      <c r="K25" s="89" t="n"/>
      <c r="L25" s="8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7" customHeight="1" s="335">
      <c r="A26" s="7" t="n">
        <v>22</v>
      </c>
      <c r="B26" s="97" t="n"/>
      <c r="C26" s="91" t="n"/>
      <c r="D26" s="99" t="n"/>
      <c r="E26" s="101" t="n"/>
      <c r="F26" s="101" t="n"/>
      <c r="G26" s="102" t="n"/>
      <c r="H26" s="79" t="n"/>
      <c r="I26" s="100" t="n"/>
      <c r="J26" s="75" t="n"/>
      <c r="K26" s="104" t="n"/>
      <c r="L26" s="81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7" customHeight="1" s="335">
      <c r="A27" s="7" t="n">
        <v>23</v>
      </c>
      <c r="B27" s="97" t="n"/>
      <c r="C27" s="91" t="n"/>
      <c r="D27" s="99" t="n"/>
      <c r="E27" s="101" t="n"/>
      <c r="F27" s="101" t="n"/>
      <c r="G27" s="102" t="n"/>
      <c r="H27" s="79" t="n"/>
      <c r="I27" s="100" t="n"/>
      <c r="J27" s="75" t="n"/>
      <c r="K27" s="104" t="n"/>
      <c r="L27" s="81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>
        <v>24</v>
      </c>
      <c r="B28" s="97" t="n"/>
      <c r="C28" s="91" t="n"/>
      <c r="D28" s="99" t="n"/>
      <c r="E28" s="101" t="n"/>
      <c r="F28" s="101" t="n"/>
      <c r="G28" s="102" t="n"/>
      <c r="H28" s="79" t="n"/>
      <c r="I28" s="100" t="n"/>
      <c r="J28" s="75" t="n"/>
      <c r="K28" s="104" t="n"/>
      <c r="L28" s="81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>
        <v>25</v>
      </c>
      <c r="B29" s="97" t="n"/>
      <c r="C29" s="91" t="n"/>
      <c r="D29" s="99" t="n"/>
      <c r="E29" s="101" t="n"/>
      <c r="F29" s="101" t="n"/>
      <c r="G29" s="102" t="n"/>
      <c r="H29" s="79" t="n"/>
      <c r="I29" s="100" t="n"/>
      <c r="J29" s="75" t="n"/>
      <c r="K29" s="104" t="n"/>
      <c r="L29" s="81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>
        <v>26</v>
      </c>
      <c r="B30" s="97" t="n"/>
      <c r="C30" s="95" t="n"/>
      <c r="D30" s="99" t="n"/>
      <c r="E30" s="101" t="n"/>
      <c r="F30" s="101" t="n"/>
      <c r="G30" s="102" t="n"/>
      <c r="H30" s="79" t="n"/>
      <c r="I30" s="100" t="n"/>
      <c r="J30" s="75" t="n"/>
      <c r="K30" s="104" t="n"/>
      <c r="L30" s="8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>
        <v>27</v>
      </c>
      <c r="B31" s="97" t="n"/>
      <c r="C31" s="95" t="n"/>
      <c r="D31" s="99" t="n"/>
      <c r="E31" s="101" t="n"/>
      <c r="F31" s="101" t="n"/>
      <c r="G31" s="102" t="n"/>
      <c r="H31" s="79" t="n"/>
      <c r="I31" s="100" t="n"/>
      <c r="J31" s="99" t="n"/>
      <c r="K31" s="80" t="n"/>
      <c r="L31" s="81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B32" s="108" t="n"/>
      <c r="C32" s="109" t="n"/>
      <c r="D32" s="109">
        <f>SUM(D5:D31)</f>
        <v/>
      </c>
      <c r="E32" s="110">
        <f>SUM(E5:E31)</f>
        <v/>
      </c>
      <c r="F32" s="111">
        <f>SUM(F5:F31)</f>
        <v/>
      </c>
      <c r="G32" s="110">
        <f>SUM(G5:G31)</f>
        <v/>
      </c>
      <c r="H32" s="110">
        <f>SUM(H5:H31)</f>
        <v/>
      </c>
      <c r="I32" s="110">
        <f>SUM(I5:I31)</f>
        <v/>
      </c>
      <c r="J32" s="112">
        <f>SUM(J5:J31)</f>
        <v/>
      </c>
      <c r="K32" s="113" t="n"/>
      <c r="L32" s="114">
        <f>J32/D32</f>
        <v/>
      </c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B33" s="7" t="n"/>
      <c r="C33" s="337" t="inlineStr">
        <is>
          <t>売上合計</t>
        </is>
      </c>
      <c r="E33" s="338" t="inlineStr">
        <is>
          <t>原材料　経費　合計</t>
        </is>
      </c>
      <c r="I33" s="115">
        <f>SUM(E5:I31)</f>
        <v/>
      </c>
      <c r="J33" s="116" t="inlineStr">
        <is>
          <t>利益</t>
        </is>
      </c>
      <c r="K33" s="7" t="n"/>
      <c r="L33" s="41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4.75" customHeight="1" s="335">
      <c r="A34" s="7" t="n"/>
      <c r="B34" s="7" t="n"/>
      <c r="C34" s="10" t="n"/>
      <c r="D34" s="10" t="n"/>
      <c r="E34" s="339">
        <f>SUM(E32:F32)</f>
        <v/>
      </c>
      <c r="G34" s="41" t="n"/>
      <c r="H34" s="41" t="n"/>
      <c r="I34" s="117" t="n"/>
      <c r="J34" s="118" t="n"/>
      <c r="K34" s="7" t="n"/>
      <c r="L34" s="4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4.75" customHeight="1" s="335">
      <c r="A35" s="7" t="n"/>
      <c r="B35" s="7" t="n"/>
      <c r="C35" s="10" t="n"/>
      <c r="D35" s="10" t="n"/>
      <c r="G35" s="41" t="n"/>
      <c r="H35" s="41" t="n"/>
      <c r="I35" s="117" t="n"/>
      <c r="J35" s="118" t="n"/>
      <c r="K35" s="7" t="n"/>
      <c r="L35" s="41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119" t="n"/>
      <c r="D36" s="7" t="n"/>
      <c r="E36" s="7" t="n"/>
      <c r="F36" s="7" t="n"/>
      <c r="G36" s="7" t="n"/>
      <c r="H36" s="7" t="n"/>
      <c r="I36" s="7" t="n"/>
      <c r="J36" s="7" t="n"/>
      <c r="K36" s="7" t="n"/>
      <c r="L36" s="41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340" t="inlineStr">
        <is>
          <t>①（２０）エスポラスに教えている人に、育成費つけますか？
※熱田班施工　竹尾様邸　１１月２７日　補修工事　入ってない？
※現場着工後の【追加工事】費用について、各班長にて再確認　→　支払依頼書へ反映されているかも
※※今後、上記の追加工事費用をAJより支払していただく為の、社内共通ルールを検討</t>
        </is>
      </c>
      <c r="K37" s="120" t="inlineStr">
        <is>
          <t>asai</t>
        </is>
      </c>
      <c r="L37" s="38">
        <f>SUM(J17,J20,J21)</f>
        <v/>
      </c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1.75" customHeight="1" s="335">
      <c r="A38" s="7" t="n"/>
      <c r="K38" s="121" t="inlineStr">
        <is>
          <t>山本</t>
        </is>
      </c>
      <c r="L38" s="38">
        <f>SUM(J13,J16,J19)</f>
        <v/>
      </c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1.75" customHeight="1" s="335">
      <c r="A39" s="7" t="n"/>
      <c r="K39" s="122" t="inlineStr">
        <is>
          <t>熱田</t>
        </is>
      </c>
      <c r="L39" s="38">
        <f>SUM(J6,J7,J9,J10,J18)</f>
        <v/>
      </c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1.75" customHeight="1" s="335">
      <c r="A40" s="7" t="n"/>
      <c r="K40" s="123" t="inlineStr">
        <is>
          <t>安保</t>
        </is>
      </c>
      <c r="L40" s="38">
        <f>SUM(J5,J11,J12,J14,J15,J22)</f>
        <v/>
      </c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1.75" customHeight="1" s="335">
      <c r="A41" s="7" t="n"/>
      <c r="K41" s="341" t="n">
        <v>0</v>
      </c>
      <c r="L41" s="125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41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4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41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41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4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41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41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41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4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41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41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41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41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41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41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41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41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4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41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41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41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41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41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41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41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41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4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41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41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41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41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41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41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41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41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4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41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41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41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41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41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41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41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41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41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4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41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41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41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41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41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41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41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41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41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41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41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41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4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41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41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41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41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41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41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41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41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41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41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41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41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41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41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41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41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41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41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41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41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41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41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41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41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41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41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41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41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41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41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41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41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41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41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41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41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41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41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41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41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41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41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41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41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41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41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41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41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41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41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41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41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41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41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41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41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41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41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41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41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41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41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41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41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41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41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41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41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41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41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41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7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41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7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41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7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41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7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41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7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41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7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41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7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41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7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41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7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41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41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41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41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41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41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41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41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41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41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41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41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41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41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41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41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41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41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41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41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41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41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41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41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41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41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41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41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41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41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41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41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41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41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41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41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41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41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41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41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41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41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41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41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41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41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41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41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41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41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41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41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41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41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41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41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41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41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41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41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41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41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41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41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41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41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41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41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41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41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41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41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41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41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41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41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41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41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41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41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41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41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41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41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41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41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41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41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41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41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41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41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41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41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41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41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41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41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41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41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41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41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41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41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41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41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41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41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41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41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41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41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41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41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41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41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41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41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41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41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41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41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41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41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41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41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41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41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41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41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41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41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41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41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41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41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41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41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41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41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41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41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41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41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41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41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41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41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41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41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41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41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41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41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41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41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41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41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41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41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41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41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41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41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41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41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41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41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41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41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41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41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41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41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41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41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41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41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41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41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41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41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41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41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41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41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41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41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41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41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41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41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41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41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41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41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41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41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41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41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41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41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41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41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41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41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41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41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41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41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41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41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41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41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41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41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41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41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41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41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41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41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41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41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41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41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41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41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41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41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41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41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41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41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41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41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41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41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41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41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41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41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41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41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41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41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41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41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41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41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41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41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41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41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41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41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41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41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41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41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41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41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41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41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41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41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41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41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41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41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41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41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41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41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41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41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41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41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41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41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41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41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41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41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41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41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41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41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41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41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41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41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41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41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41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41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41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41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41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41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41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41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41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41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41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41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41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41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41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41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41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41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41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41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41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41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41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41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41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41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41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41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41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41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41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41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41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41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41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41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41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41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41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41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41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41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41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41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41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41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41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41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41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41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41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41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41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41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41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41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41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41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41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41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41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41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41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41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41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41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41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41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41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41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41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41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41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41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41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41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41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41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41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41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41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41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41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41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41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41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41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41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41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41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41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41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41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41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41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41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41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41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41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41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41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41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41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41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41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41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41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41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41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41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41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41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41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41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41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41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41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41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41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41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41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41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41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41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41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41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41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41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41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41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41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41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41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41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41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41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41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41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41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41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41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41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41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41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41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41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41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41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41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41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41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41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41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41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41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41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41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41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41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41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41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41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41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41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41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41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41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41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41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41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41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41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41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41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41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41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41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41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41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41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41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41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41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41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41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41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41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41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41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41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41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41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41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41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41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41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41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41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41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41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41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41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41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41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41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41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41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41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41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41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41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41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41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41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41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41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41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41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41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41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41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41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41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41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41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41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41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41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41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41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41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41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41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41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41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41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41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41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41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41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41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41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41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41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41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41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41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41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41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41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41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41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41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41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41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41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41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41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41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41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41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41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41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41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41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41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41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41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41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41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41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41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41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41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41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41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41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41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41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41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41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41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41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41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41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41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41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41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41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41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41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41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41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41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41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41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41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41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41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41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41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41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41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41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41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41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41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41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41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41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41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41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41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41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41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41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41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41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41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41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41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41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41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41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41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41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41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41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41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41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41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41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41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41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41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41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41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41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41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41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41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41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41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41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41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41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41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41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41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41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41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41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41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41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41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41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41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41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41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41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41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41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41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41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41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41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41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41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41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41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41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41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41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41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41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41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41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41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41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41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41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41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41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41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41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41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41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41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41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41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41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41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41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41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41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41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41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41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41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41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41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41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41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41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41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41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41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41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41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41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41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41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41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41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41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41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41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41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41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41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41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41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41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41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41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41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41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41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41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41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41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41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41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41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41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41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41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41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41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41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41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41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41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41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41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41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41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41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41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41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41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41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41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41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41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41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41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41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41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41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41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41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41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41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41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41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41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41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41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41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41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41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41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41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41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41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41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41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41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41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41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41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41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41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41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41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41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41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41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41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41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41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41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41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41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41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41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41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41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41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41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41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41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41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41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41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41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41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41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41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41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41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41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41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41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41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41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41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41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41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41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41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41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41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41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41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41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342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343" t="n"/>
      <c r="C3" s="10" t="n"/>
      <c r="D3" s="344" t="n">
        <v>8</v>
      </c>
      <c r="F3" s="10" t="n"/>
      <c r="G3" s="344" t="n">
        <v>9</v>
      </c>
      <c r="I3" s="10" t="n"/>
      <c r="J3" s="344" t="n">
        <v>10</v>
      </c>
      <c r="L3" s="10" t="n"/>
      <c r="M3" s="344" t="n">
        <v>11</v>
      </c>
      <c r="O3" s="10" t="n"/>
      <c r="P3" s="344" t="n">
        <v>12</v>
      </c>
      <c r="R3" s="10" t="n"/>
      <c r="S3" s="7" t="n"/>
      <c r="T3" s="1" t="n"/>
      <c r="U3" s="10" t="n"/>
      <c r="V3" s="302" t="n">
        <v>1</v>
      </c>
      <c r="W3" s="343" t="n"/>
      <c r="X3" s="10" t="n"/>
      <c r="Y3" s="344" t="n">
        <v>2</v>
      </c>
      <c r="AA3" s="10" t="n"/>
      <c r="AB3" s="344" t="n">
        <v>3</v>
      </c>
      <c r="AD3" s="10" t="n"/>
      <c r="AE3" s="344" t="n">
        <v>4</v>
      </c>
      <c r="AG3" s="10" t="n"/>
      <c r="AH3" s="344" t="n">
        <v>5</v>
      </c>
      <c r="AJ3" s="10" t="n"/>
      <c r="AK3" s="344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362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362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345" t="n"/>
      <c r="B8" s="34" t="n"/>
      <c r="C8" s="35" t="n"/>
      <c r="D8" s="346" t="n"/>
      <c r="E8" s="20" t="n"/>
      <c r="F8" s="37" t="n"/>
      <c r="G8" s="345" t="n"/>
      <c r="H8" s="34" t="n"/>
      <c r="I8" s="35" t="n"/>
      <c r="J8" s="346" t="n"/>
      <c r="K8" s="20" t="n"/>
      <c r="L8" s="37" t="n"/>
      <c r="M8" s="345" t="n"/>
      <c r="N8" s="34" t="n"/>
      <c r="O8" s="35" t="n"/>
      <c r="P8" s="346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345" t="n"/>
      <c r="W8" s="34" t="n"/>
      <c r="X8" s="35" t="n"/>
      <c r="Y8" s="346" t="n"/>
      <c r="Z8" s="20" t="n"/>
      <c r="AA8" s="37" t="n"/>
      <c r="AB8" s="345" t="n"/>
      <c r="AC8" s="34" t="n"/>
      <c r="AD8" s="35" t="n"/>
      <c r="AE8" s="346" t="n"/>
      <c r="AF8" s="20" t="n"/>
      <c r="AG8" s="37" t="n"/>
      <c r="AH8" s="345" t="n"/>
      <c r="AI8" s="34" t="n"/>
      <c r="AJ8" s="35" t="n"/>
      <c r="AK8" s="346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347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348" t="n"/>
      <c r="B10" s="349" t="n"/>
      <c r="C10" s="41" t="n"/>
      <c r="D10" s="348" t="n"/>
      <c r="E10" s="349" t="n"/>
      <c r="F10" s="41" t="n"/>
      <c r="G10" s="348" t="n"/>
      <c r="H10" s="349" t="n"/>
      <c r="I10" s="41" t="n"/>
      <c r="J10" s="348" t="n"/>
      <c r="K10" s="349" t="n"/>
      <c r="L10" s="41" t="n"/>
      <c r="M10" s="348" t="n"/>
      <c r="N10" s="349" t="n"/>
      <c r="O10" s="41" t="n"/>
      <c r="P10" s="348" t="n"/>
      <c r="Q10" s="349" t="n"/>
      <c r="R10" s="41" t="n"/>
      <c r="S10" s="350" t="inlineStr">
        <is>
          <t>合計</t>
        </is>
      </c>
      <c r="T10" s="351">
        <f>SUM(A10,D10,G10,J10,M10,P10)</f>
        <v/>
      </c>
      <c r="U10" s="349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352" t="n"/>
      <c r="B11" s="353" t="n"/>
      <c r="C11" s="41" t="n"/>
      <c r="D11" s="352" t="n"/>
      <c r="E11" s="353" t="n"/>
      <c r="F11" s="41" t="n"/>
      <c r="G11" s="352" t="n"/>
      <c r="H11" s="353" t="n"/>
      <c r="I11" s="41" t="n"/>
      <c r="J11" s="352" t="n"/>
      <c r="K11" s="353" t="n"/>
      <c r="L11" s="41" t="n"/>
      <c r="M11" s="352" t="n"/>
      <c r="N11" s="353" t="n"/>
      <c r="O11" s="41" t="n"/>
      <c r="P11" s="352" t="n"/>
      <c r="Q11" s="353" t="n"/>
      <c r="R11" s="41" t="n"/>
      <c r="S11" s="354" t="n"/>
      <c r="T11" s="352" t="n"/>
      <c r="U11" s="353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355">
        <f>T10/6</f>
        <v/>
      </c>
      <c r="U12" s="356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357" t="n"/>
      <c r="B13" s="349" t="n"/>
      <c r="C13" s="41" t="n"/>
      <c r="D13" s="357" t="n"/>
      <c r="E13" s="349" t="n"/>
      <c r="F13" s="41" t="n"/>
      <c r="G13" s="357" t="n"/>
      <c r="H13" s="349" t="n"/>
      <c r="I13" s="41" t="n"/>
      <c r="J13" s="357" t="n"/>
      <c r="K13" s="349" t="n"/>
      <c r="L13" s="41" t="n"/>
      <c r="M13" s="357" t="n"/>
      <c r="N13" s="349" t="n"/>
      <c r="O13" s="41" t="n"/>
      <c r="P13" s="357" t="n"/>
      <c r="Q13" s="349" t="n"/>
      <c r="R13" s="41" t="n"/>
      <c r="S13" s="350" t="inlineStr">
        <is>
          <t>合計</t>
        </is>
      </c>
      <c r="T13" s="358">
        <f>SUM(A13,D13,G13,J13,M13,P13)</f>
        <v/>
      </c>
      <c r="U13" s="349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352" t="n"/>
      <c r="B14" s="353" t="n"/>
      <c r="C14" s="41" t="n"/>
      <c r="D14" s="352" t="n"/>
      <c r="E14" s="353" t="n"/>
      <c r="F14" s="41" t="n"/>
      <c r="G14" s="352" t="n"/>
      <c r="H14" s="353" t="n"/>
      <c r="I14" s="41" t="n"/>
      <c r="J14" s="352" t="n"/>
      <c r="K14" s="353" t="n"/>
      <c r="L14" s="41" t="n"/>
      <c r="M14" s="352" t="n"/>
      <c r="N14" s="353" t="n"/>
      <c r="O14" s="41" t="n"/>
      <c r="P14" s="352" t="n"/>
      <c r="Q14" s="353" t="n"/>
      <c r="R14" s="41" t="n"/>
      <c r="S14" s="354" t="n"/>
      <c r="T14" s="352" t="n"/>
      <c r="U14" s="353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355">
        <f>T13/6</f>
        <v/>
      </c>
      <c r="U15" s="356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347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347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347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347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359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360" t="n"/>
      <c r="C20" s="360" t="n"/>
      <c r="D20" s="360" t="n"/>
      <c r="E20" s="360" t="n"/>
      <c r="F20" s="360" t="n"/>
      <c r="G20" s="360" t="n"/>
      <c r="H20" s="360" t="n"/>
      <c r="I20" s="360" t="n"/>
      <c r="J20" s="360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49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361" t="n"/>
      <c r="T21" s="354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361" t="n"/>
      <c r="T22" s="354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361" t="n"/>
      <c r="T23" s="354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361" t="n"/>
      <c r="T24" s="354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361" t="n"/>
      <c r="T25" s="354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361" t="n"/>
      <c r="T26" s="354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361" t="n"/>
      <c r="T27" s="354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361" t="n"/>
      <c r="T28" s="354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361" t="n"/>
      <c r="T29" s="354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361" t="n"/>
      <c r="T30" s="354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352" t="n"/>
      <c r="B31" s="343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  <c r="O31" s="343" t="n"/>
      <c r="P31" s="343" t="n"/>
      <c r="Q31" s="343" t="n"/>
      <c r="R31" s="343" t="n"/>
      <c r="S31" s="343" t="n"/>
      <c r="T31" s="353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1" workbookViewId="0">
      <pane ySplit="5" topLeftCell="A37" activePane="bottomLeft" state="frozen"/>
      <selection pane="bottomLeft" activeCell="G40" sqref="G40"/>
    </sheetView>
  </sheetViews>
  <sheetFormatPr baseColWidth="8" defaultColWidth="14.3984375" defaultRowHeight="15" customHeight="1"/>
  <cols>
    <col width="9.73046875" customWidth="1" style="335" min="1" max="1"/>
    <col width="22.53125" customWidth="1" style="335" min="2" max="12"/>
    <col width="9" customWidth="1" style="335" min="13" max="26"/>
  </cols>
  <sheetData>
    <row r="1" ht="27" customHeight="1" s="335">
      <c r="A1" s="7" t="n"/>
      <c r="B1" s="52" t="n"/>
      <c r="C1" s="3" t="inlineStr">
        <is>
          <t>受注一覧表</t>
        </is>
      </c>
      <c r="D1" s="53" t="n"/>
      <c r="E1" s="53" t="n"/>
      <c r="F1" s="53" t="n"/>
      <c r="G1" s="7" t="n"/>
      <c r="H1" s="7" t="n"/>
      <c r="I1" s="7" t="n"/>
      <c r="J1" s="6" t="n"/>
      <c r="K1" s="336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7" customHeight="1" s="335">
      <c r="A2" s="7" t="n"/>
      <c r="B2" s="53" t="n"/>
      <c r="C2" s="9" t="inlineStr">
        <is>
          <t>2024年12月　着工=受注　ベース</t>
        </is>
      </c>
      <c r="D2" s="7" t="n"/>
      <c r="E2" s="53" t="n"/>
      <c r="F2" s="53" t="n"/>
      <c r="G2" s="6" t="n"/>
      <c r="H2" s="6" t="n"/>
      <c r="I2" s="6" t="n"/>
      <c r="J2" s="53" t="inlineStr">
        <is>
          <t>＊数字は【税抜き】です。</t>
        </is>
      </c>
      <c r="K2" s="53" t="n"/>
      <c r="L2" s="6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7" customHeight="1" s="335">
      <c r="A3" s="7" t="n"/>
      <c r="B3" s="259" t="inlineStr">
        <is>
          <t>顧客名</t>
        </is>
      </c>
      <c r="C3" s="260" t="inlineStr">
        <is>
          <t>工事名称</t>
        </is>
      </c>
      <c r="D3" s="57" t="inlineStr">
        <is>
          <t>一般売上</t>
        </is>
      </c>
      <c r="E3" s="58" t="n"/>
      <c r="F3" s="59" t="n"/>
      <c r="G3" s="58" t="n"/>
      <c r="H3" s="58" t="n"/>
      <c r="I3" s="58" t="n"/>
      <c r="J3" s="59" t="n"/>
      <c r="K3" s="60" t="n"/>
      <c r="L3" s="20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7" customHeight="1" s="335">
      <c r="A4" s="7" t="n"/>
      <c r="B4" s="261" t="n"/>
      <c r="C4" s="262" t="n"/>
      <c r="D4" s="263" t="inlineStr">
        <is>
          <t>①税 抜</t>
        </is>
      </c>
      <c r="E4" s="264" t="inlineStr">
        <is>
          <t>②社保</t>
        </is>
      </c>
      <c r="F4" s="265" t="inlineStr">
        <is>
          <t>③生産課</t>
        </is>
      </c>
      <c r="G4" s="264" t="inlineStr">
        <is>
          <t>④材料費</t>
        </is>
      </c>
      <c r="H4" s="266" t="inlineStr">
        <is>
          <t>⑤外注　小林</t>
        </is>
      </c>
      <c r="I4" s="264" t="inlineStr">
        <is>
          <t>⑥外注　南</t>
        </is>
      </c>
      <c r="J4" s="267" t="inlineStr">
        <is>
          <t>⑦粗利益</t>
        </is>
      </c>
      <c r="K4" s="268" t="inlineStr">
        <is>
          <t>班　長</t>
        </is>
      </c>
      <c r="L4" s="269" t="inlineStr">
        <is>
          <t>粗利率</t>
        </is>
      </c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27" customHeight="1" s="335">
      <c r="A5" s="7" t="n">
        <v>1</v>
      </c>
      <c r="B5" s="270" t="n"/>
      <c r="C5" s="271" t="n"/>
      <c r="D5" s="272" t="n"/>
      <c r="E5" s="273" t="n"/>
      <c r="F5" s="274" t="n"/>
      <c r="G5" s="275" t="n"/>
      <c r="H5" s="276" t="n"/>
      <c r="I5" s="277" t="n"/>
      <c r="J5" s="272" t="n"/>
      <c r="K5" s="278" t="n"/>
      <c r="L5" s="279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7" customHeight="1" s="335">
      <c r="A6" s="7" t="n">
        <v>2</v>
      </c>
      <c r="B6" s="270" t="n"/>
      <c r="C6" s="280" t="n"/>
      <c r="D6" s="272" t="n"/>
      <c r="E6" s="281" t="n"/>
      <c r="F6" s="282" t="n"/>
      <c r="G6" s="275" t="n"/>
      <c r="H6" s="276" t="n"/>
      <c r="I6" s="277" t="n"/>
      <c r="J6" s="272" t="n"/>
      <c r="K6" s="278" t="n"/>
      <c r="L6" s="279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7" customHeight="1" s="335">
      <c r="A7" s="7" t="n">
        <v>3</v>
      </c>
      <c r="B7" s="270" t="n"/>
      <c r="C7" s="280" t="n"/>
      <c r="D7" s="272" t="n"/>
      <c r="E7" s="281" t="n"/>
      <c r="F7" s="282" t="n"/>
      <c r="G7" s="275" t="n"/>
      <c r="H7" s="276" t="n"/>
      <c r="I7" s="277" t="n"/>
      <c r="J7" s="272" t="n"/>
      <c r="K7" s="283" t="n"/>
      <c r="L7" s="284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27" customHeight="1" s="335">
      <c r="A8" s="7" t="n">
        <v>4</v>
      </c>
      <c r="B8" s="270" t="n"/>
      <c r="C8" s="271" t="n"/>
      <c r="D8" s="272" t="n"/>
      <c r="E8" s="281" t="n"/>
      <c r="F8" s="282" t="n"/>
      <c r="G8" s="285" t="n"/>
      <c r="H8" s="276" t="n"/>
      <c r="I8" s="277" t="n"/>
      <c r="J8" s="272" t="n"/>
      <c r="K8" s="278" t="n"/>
      <c r="L8" s="279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27" customHeight="1" s="335">
      <c r="A9" s="7" t="n">
        <v>5</v>
      </c>
      <c r="B9" s="270" t="n"/>
      <c r="C9" s="280" t="n"/>
      <c r="D9" s="272" t="n"/>
      <c r="E9" s="281" t="n"/>
      <c r="F9" s="282" t="n"/>
      <c r="G9" s="275" t="n"/>
      <c r="H9" s="276" t="n"/>
      <c r="I9" s="277" t="n"/>
      <c r="J9" s="272" t="n"/>
      <c r="K9" s="286" t="n"/>
      <c r="L9" s="279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 s="335">
      <c r="A10" s="7" t="n">
        <v>6</v>
      </c>
      <c r="B10" s="270" t="n"/>
      <c r="C10" s="280" t="n"/>
      <c r="D10" s="272" t="n"/>
      <c r="E10" s="281" t="n"/>
      <c r="F10" s="282" t="n"/>
      <c r="G10" s="275" t="n"/>
      <c r="H10" s="276" t="n"/>
      <c r="I10" s="277" t="n"/>
      <c r="J10" s="272" t="n"/>
      <c r="K10" s="278" t="n"/>
      <c r="L10" s="279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27" customHeight="1" s="335">
      <c r="A11" s="7" t="n">
        <v>7</v>
      </c>
      <c r="B11" s="270" t="n"/>
      <c r="C11" s="287" t="n"/>
      <c r="D11" s="272" t="n"/>
      <c r="E11" s="281" t="n"/>
      <c r="F11" s="282" t="n"/>
      <c r="G11" s="275" t="n"/>
      <c r="H11" s="276" t="n"/>
      <c r="I11" s="277" t="n"/>
      <c r="J11" s="272" t="n"/>
      <c r="K11" s="283" t="n"/>
      <c r="L11" s="279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 s="335">
      <c r="A12" s="7" t="n">
        <v>8</v>
      </c>
      <c r="B12" s="270" t="n"/>
      <c r="C12" s="287" t="n"/>
      <c r="D12" s="272" t="n"/>
      <c r="E12" s="281" t="n"/>
      <c r="F12" s="282" t="n"/>
      <c r="G12" s="275" t="n"/>
      <c r="H12" s="276" t="n"/>
      <c r="I12" s="277" t="n"/>
      <c r="J12" s="272" t="n"/>
      <c r="K12" s="286" t="n"/>
      <c r="L12" s="279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27" customHeight="1" s="335">
      <c r="A13" s="7" t="n">
        <v>9</v>
      </c>
      <c r="B13" s="270" t="n"/>
      <c r="C13" s="280" t="n"/>
      <c r="D13" s="272" t="n"/>
      <c r="E13" s="281" t="n"/>
      <c r="F13" s="282" t="n"/>
      <c r="G13" s="275" t="n"/>
      <c r="H13" s="276" t="n"/>
      <c r="I13" s="277" t="n"/>
      <c r="J13" s="272" t="n"/>
      <c r="K13" s="283" t="n"/>
      <c r="L13" s="279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27" customHeight="1" s="335">
      <c r="A14" s="7" t="n">
        <v>10</v>
      </c>
      <c r="B14" s="270" t="n"/>
      <c r="C14" s="287" t="n"/>
      <c r="D14" s="272" t="n"/>
      <c r="E14" s="281" t="n"/>
      <c r="F14" s="282" t="n"/>
      <c r="G14" s="275" t="n"/>
      <c r="H14" s="276" t="n"/>
      <c r="I14" s="277" t="n"/>
      <c r="J14" s="272" t="n"/>
      <c r="K14" s="283" t="n"/>
      <c r="L14" s="279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7" customHeight="1" s="335">
      <c r="A15" s="7" t="n">
        <v>11</v>
      </c>
      <c r="B15" s="270" t="n"/>
      <c r="C15" s="287" t="n"/>
      <c r="D15" s="272" t="n"/>
      <c r="E15" s="281" t="n"/>
      <c r="F15" s="282" t="n"/>
      <c r="G15" s="275" t="n"/>
      <c r="H15" s="276" t="n"/>
      <c r="I15" s="277" t="n"/>
      <c r="J15" s="272" t="n"/>
      <c r="K15" s="286" t="n"/>
      <c r="L15" s="279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7" customHeight="1" s="335">
      <c r="A16" s="7" t="n">
        <v>12</v>
      </c>
      <c r="B16" s="270" t="n"/>
      <c r="C16" s="287" t="n"/>
      <c r="D16" s="272" t="n"/>
      <c r="E16" s="281" t="n"/>
      <c r="F16" s="282" t="n"/>
      <c r="G16" s="275" t="n"/>
      <c r="H16" s="276" t="n"/>
      <c r="I16" s="277" t="n"/>
      <c r="J16" s="272" t="n"/>
      <c r="K16" s="278" t="n"/>
      <c r="L16" s="279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7" customHeight="1" s="335">
      <c r="A17" s="7" t="n">
        <v>13</v>
      </c>
      <c r="B17" s="270" t="n"/>
      <c r="C17" s="280" t="n"/>
      <c r="D17" s="272" t="n"/>
      <c r="E17" s="281" t="n"/>
      <c r="F17" s="282" t="n"/>
      <c r="G17" s="285" t="n"/>
      <c r="H17" s="276" t="n"/>
      <c r="I17" s="277" t="n"/>
      <c r="J17" s="272" t="n"/>
      <c r="K17" s="286" t="n"/>
      <c r="L17" s="279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7" customHeight="1" s="335">
      <c r="A18" s="7" t="n">
        <v>14</v>
      </c>
      <c r="B18" s="270" t="n"/>
      <c r="C18" s="280" t="n"/>
      <c r="D18" s="272" t="n"/>
      <c r="E18" s="281" t="n"/>
      <c r="F18" s="282" t="n"/>
      <c r="G18" s="275" t="n"/>
      <c r="H18" s="276" t="n"/>
      <c r="I18" s="277" t="n"/>
      <c r="J18" s="272" t="n"/>
      <c r="K18" s="286" t="n"/>
      <c r="L18" s="279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7" customHeight="1" s="335">
      <c r="A19" s="7" t="n">
        <v>15</v>
      </c>
      <c r="B19" s="270" t="n"/>
      <c r="C19" s="280" t="n"/>
      <c r="D19" s="272" t="n"/>
      <c r="E19" s="281" t="n"/>
      <c r="F19" s="282" t="n"/>
      <c r="G19" s="285" t="n"/>
      <c r="H19" s="276" t="n"/>
      <c r="I19" s="277" t="n"/>
      <c r="J19" s="272" t="n"/>
      <c r="K19" s="278" t="n"/>
      <c r="L19" s="279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7" customHeight="1" s="335">
      <c r="A20" s="7" t="n">
        <v>16</v>
      </c>
      <c r="B20" s="270" t="n"/>
      <c r="C20" s="280" t="n"/>
      <c r="D20" s="272" t="n"/>
      <c r="E20" s="281" t="n"/>
      <c r="F20" s="282" t="n"/>
      <c r="G20" s="275" t="n"/>
      <c r="H20" s="276" t="n"/>
      <c r="I20" s="277" t="n"/>
      <c r="J20" s="272" t="n"/>
      <c r="K20" s="278" t="n"/>
      <c r="L20" s="279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7" customHeight="1" s="335">
      <c r="A21" s="7" t="n">
        <v>17</v>
      </c>
      <c r="B21" s="270" t="n"/>
      <c r="C21" s="287" t="n"/>
      <c r="D21" s="272" t="n"/>
      <c r="E21" s="281" t="n"/>
      <c r="F21" s="282" t="n"/>
      <c r="G21" s="275" t="n"/>
      <c r="H21" s="276" t="n"/>
      <c r="I21" s="277" t="n"/>
      <c r="J21" s="272" t="n"/>
      <c r="K21" s="278" t="n"/>
      <c r="L21" s="279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7" customHeight="1" s="335">
      <c r="A22" s="7" t="n">
        <v>18</v>
      </c>
      <c r="B22" s="270" t="n"/>
      <c r="C22" s="287" t="n"/>
      <c r="D22" s="272" t="n"/>
      <c r="E22" s="281" t="n"/>
      <c r="F22" s="282" t="n"/>
      <c r="G22" s="285" t="n"/>
      <c r="H22" s="276" t="n"/>
      <c r="I22" s="277" t="n"/>
      <c r="J22" s="272" t="n"/>
      <c r="K22" s="278" t="n"/>
      <c r="L22" s="279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7" customHeight="1" s="335">
      <c r="A23" s="7" t="n"/>
      <c r="B23" s="288" t="n"/>
      <c r="C23" s="289" t="n"/>
      <c r="D23" s="290" t="n"/>
      <c r="E23" s="291" t="n"/>
      <c r="F23" s="292" t="n"/>
      <c r="G23" s="293" t="n"/>
      <c r="H23" s="294" t="n"/>
      <c r="I23" s="295" t="n"/>
      <c r="J23" s="290" t="n"/>
      <c r="K23" s="296" t="n"/>
      <c r="L23" s="29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7" customHeight="1" s="335">
      <c r="A24" s="7" t="n"/>
      <c r="B24" s="108" t="n"/>
      <c r="C24" s="239" t="n"/>
      <c r="D24" s="239">
        <f>SUM(D5:D23)</f>
        <v/>
      </c>
      <c r="E24" s="110">
        <f>SUM(E5:E23)</f>
        <v/>
      </c>
      <c r="F24" s="111">
        <f>SUM(F5:F23)</f>
        <v/>
      </c>
      <c r="G24" s="110">
        <f>SUM(G5:G23)</f>
        <v/>
      </c>
      <c r="H24" s="110">
        <f>SUM(H5:H23)</f>
        <v/>
      </c>
      <c r="I24" s="110">
        <f>SUM(I5:I23)</f>
        <v/>
      </c>
      <c r="J24" s="240">
        <f>SUM(J5:J23)</f>
        <v/>
      </c>
      <c r="K24" s="113" t="n"/>
      <c r="L24" s="241">
        <f>J24/D24</f>
        <v/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7" customHeight="1" s="335">
      <c r="A25" s="7" t="n"/>
      <c r="B25" s="7" t="n"/>
      <c r="C25" s="337" t="n"/>
      <c r="E25" s="338" t="n"/>
      <c r="I25" s="242">
        <f>SUM(E5:I23)</f>
        <v/>
      </c>
      <c r="J25" s="116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4.75" customHeight="1" s="335">
      <c r="A26" s="7" t="n"/>
      <c r="B26" s="7" t="n"/>
      <c r="C26" s="10" t="n"/>
      <c r="D26" s="10" t="n"/>
      <c r="E26" s="339">
        <f>SUM(E24:F24)</f>
        <v/>
      </c>
      <c r="G26" s="41" t="n"/>
      <c r="H26" s="41" t="n"/>
      <c r="I26" s="117" t="n"/>
      <c r="J26" s="118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24.75" customHeight="1" s="335">
      <c r="A27" s="7" t="n"/>
      <c r="B27" s="7" t="n"/>
      <c r="C27" s="10" t="n"/>
      <c r="D27" s="10" t="n"/>
      <c r="G27" s="41" t="n"/>
      <c r="H27" s="41" t="n"/>
      <c r="I27" s="117" t="n"/>
      <c r="J27" s="118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27" customHeight="1" s="335">
      <c r="A28" s="7" t="n"/>
      <c r="B28" s="7" t="n"/>
      <c r="C28" s="119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27" customHeight="1" s="335">
      <c r="A29" s="7" t="n"/>
      <c r="B29" s="340" t="n"/>
      <c r="K29" s="298" t="n"/>
      <c r="L29" s="38">
        <f>SUM(J5,J6,J8,J10,J16,J19,J20,J21,J22)</f>
        <v/>
      </c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27" customHeight="1" s="335">
      <c r="A30" s="7" t="n"/>
      <c r="K30" s="299" t="n"/>
      <c r="L30" s="38">
        <f>SUM(J9,J12,J15,J17,J18)</f>
        <v/>
      </c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27" customHeight="1" s="335">
      <c r="A31" s="7" t="n"/>
      <c r="K31" s="300" t="n"/>
      <c r="L31" s="38">
        <f>SUM(J7,J11,J13,J14)</f>
        <v/>
      </c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7" customHeight="1" s="335">
      <c r="A32" s="7" t="n"/>
      <c r="K32" s="363" t="n">
        <v>0</v>
      </c>
      <c r="L32" s="38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27" customHeight="1" s="335">
      <c r="A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27" customHeight="1" s="335">
      <c r="A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27" customHeight="1" s="335">
      <c r="A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7" customHeight="1" s="33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7" customHeight="1" s="33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27" customHeight="1" s="33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27" customHeight="1" s="33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7" customHeight="1" s="33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27" customHeight="1" s="33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27" customHeight="1" s="33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27" customHeight="1" s="33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7" customHeight="1" s="33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27" customHeight="1" s="33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27" customHeight="1" s="33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" customHeight="1" s="33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27" customHeight="1" s="33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27" customHeight="1" s="33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27" customHeight="1" s="33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27" customHeight="1" s="33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27" customHeight="1" s="33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27" customHeight="1" s="33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27" customHeight="1" s="33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27" customHeight="1" s="33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27" customHeight="1" s="33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27" customHeight="1" s="33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27" customHeight="1" s="33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27" customHeight="1" s="33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27" customHeight="1" s="33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27" customHeight="1" s="33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27" customHeight="1" s="33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27" customHeight="1" s="33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27" customHeight="1" s="33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27" customHeight="1" s="33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27" customHeight="1" s="33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27" customHeight="1" s="33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27" customHeight="1" s="33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27" customHeight="1" s="33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27" customHeight="1" s="33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27" customHeight="1" s="33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27" customHeight="1" s="33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27" customHeight="1" s="33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27" customHeight="1" s="33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27" customHeight="1" s="33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27" customHeight="1" s="33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27" customHeight="1" s="33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27" customHeight="1" s="33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27" customHeight="1" s="33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27" customHeight="1" s="33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27" customHeight="1" s="33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27" customHeight="1" s="33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27" customHeight="1" s="33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27" customHeight="1" s="33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27" customHeight="1" s="33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27" customHeight="1" s="33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27" customHeight="1" s="33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27" customHeight="1" s="33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27" customHeight="1" s="33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27" customHeight="1" s="33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27" customHeight="1" s="33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27" customHeight="1" s="33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27" customHeight="1" s="33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27" customHeight="1" s="33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27" customHeight="1" s="33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27" customHeight="1" s="33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27" customHeight="1" s="33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27" customHeight="1" s="33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27" customHeight="1" s="33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27" customHeight="1" s="33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27" customHeight="1" s="33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27" customHeight="1" s="33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27" customHeight="1" s="33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27" customHeight="1" s="33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27" customHeight="1" s="33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27" customHeight="1" s="33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27" customHeight="1" s="33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27" customHeight="1" s="33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27" customHeight="1" s="33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27" customHeight="1" s="33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27" customHeight="1" s="33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27" customHeight="1" s="33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27" customHeight="1" s="33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27" customHeight="1" s="33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27" customHeight="1" s="33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27" customHeight="1" s="33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27" customHeight="1" s="33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27" customHeight="1" s="33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27" customHeight="1" s="33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27" customHeight="1" s="33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27" customHeight="1" s="33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27" customHeight="1" s="33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27" customHeight="1" s="33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27" customHeight="1" s="33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27" customHeight="1" s="33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27" customHeight="1" s="33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27" customHeight="1" s="33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27" customHeight="1" s="33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27" customHeight="1" s="33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27" customHeight="1" s="33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27" customHeight="1" s="33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27" customHeight="1" s="33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27" customHeight="1" s="33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27" customHeight="1" s="33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27" customHeight="1" s="3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27" customHeight="1" s="33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27" customHeight="1" s="33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27" customHeight="1" s="33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27" customHeight="1" s="33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27" customHeight="1" s="33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27" customHeight="1" s="33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27" customHeight="1" s="33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27" customHeight="1" s="33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27" customHeight="1" s="33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27" customHeight="1" s="33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27" customHeight="1" s="33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27" customHeight="1" s="33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27" customHeight="1" s="33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27" customHeight="1" s="33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27" customHeight="1" s="33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27" customHeight="1" s="33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27" customHeight="1" s="33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27" customHeight="1" s="33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27" customHeight="1" s="33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27" customHeight="1" s="33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27" customHeight="1" s="33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27" customHeight="1" s="33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27" customHeight="1" s="33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27" customHeight="1" s="33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27" customHeight="1" s="33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27" customHeight="1" s="33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27" customHeight="1" s="33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27" customHeight="1" s="33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27" customHeight="1" s="33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27" customHeight="1" s="33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27" customHeight="1" s="33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27" customHeight="1" s="33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27" customHeight="1" s="33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27" customHeight="1" s="33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27" customHeight="1" s="33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27" customHeight="1" s="33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21.75" customHeight="1" s="33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21.75" customHeight="1" s="33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21.75" customHeight="1" s="33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21.75" customHeight="1" s="33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21.75" customHeight="1" s="33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21.75" customHeight="1" s="33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21.75" customHeight="1" s="33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21.75" customHeight="1" s="33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21.75" customHeight="1" s="33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21.75" customHeight="1" s="33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21.75" customHeight="1" s="33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21.75" customHeight="1" s="33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21.75" customHeight="1" s="33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21.75" customHeight="1" s="33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21.75" customHeight="1" s="33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21.75" customHeight="1" s="33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21.75" customHeight="1" s="33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21.75" customHeight="1" s="33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21.75" customHeight="1" s="33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21.75" customHeight="1" s="33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21.75" customHeight="1" s="33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21.75" customHeight="1" s="33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21.75" customHeight="1" s="33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21.75" customHeight="1" s="33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21.75" customHeight="1" s="33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21.75" customHeight="1" s="33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21.75" customHeight="1" s="33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21.75" customHeight="1" s="33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21.75" customHeight="1" s="33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21.75" customHeight="1" s="33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21.75" customHeight="1" s="33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21.75" customHeight="1" s="33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21.75" customHeight="1" s="33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21.75" customHeight="1" s="33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21.75" customHeight="1" s="33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21.75" customHeight="1" s="33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21.75" customHeight="1" s="33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21.75" customHeight="1" s="33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21.75" customHeight="1" s="33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21.75" customHeight="1" s="33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21.75" customHeight="1" s="33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21.75" customHeight="1" s="33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21.75" customHeight="1" s="33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21.75" customHeight="1" s="33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21.75" customHeight="1" s="33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21.75" customHeight="1" s="33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21.75" customHeight="1" s="33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21.75" customHeight="1" s="33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21.75" customHeight="1" s="33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21.75" customHeight="1" s="33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21.75" customHeight="1" s="33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21.75" customHeight="1" s="33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21.75" customHeight="1" s="33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21.75" customHeight="1" s="33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21.75" customHeight="1" s="33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21.75" customHeight="1" s="33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21.75" customHeight="1" s="33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21.75" customHeight="1" s="33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21.75" customHeight="1" s="33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21.75" customHeight="1" s="33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21.75" customHeight="1" s="33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21.75" customHeight="1" s="33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21.75" customHeight="1" s="33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21.75" customHeight="1" s="3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21.75" customHeight="1" s="33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21.75" customHeight="1" s="33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21.75" customHeight="1" s="33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21.75" customHeight="1" s="33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21.75" customHeight="1" s="33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21.75" customHeight="1" s="33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21.75" customHeight="1" s="33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21.75" customHeight="1" s="33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21.75" customHeight="1" s="33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21.75" customHeight="1" s="33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21.75" customHeight="1" s="33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21.75" customHeight="1" s="33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21.75" customHeight="1" s="33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21.75" customHeight="1" s="33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21.75" customHeight="1" s="33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21.75" customHeight="1" s="33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21.75" customHeight="1" s="33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21.75" customHeight="1" s="33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21.75" customHeight="1" s="33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21.75" customHeight="1" s="33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21.75" customHeight="1" s="33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21.75" customHeight="1" s="33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21.75" customHeight="1" s="33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21.75" customHeight="1" s="33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21.75" customHeight="1" s="33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21.75" customHeight="1" s="33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21.75" customHeight="1" s="33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21.75" customHeight="1" s="33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21.75" customHeight="1" s="33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21.75" customHeight="1" s="33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21.75" customHeight="1" s="33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21.75" customHeight="1" s="33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21.75" customHeight="1" s="33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21.75" customHeight="1" s="33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21.75" customHeight="1" s="33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21.75" customHeight="1" s="33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21.75" customHeight="1" s="33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21.75" customHeight="1" s="33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21.75" customHeight="1" s="33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21.75" customHeight="1" s="33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21.75" customHeight="1" s="33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21.75" customHeight="1" s="33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21.75" customHeight="1" s="33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21.75" customHeight="1" s="33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21.75" customHeight="1" s="33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21.75" customHeight="1" s="33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21.75" customHeight="1" s="33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21.75" customHeight="1" s="33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21.75" customHeight="1" s="33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21.75" customHeight="1" s="33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21.75" customHeight="1" s="33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21.75" customHeight="1" s="33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21.75" customHeight="1" s="33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21.75" customHeight="1" s="33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21.75" customHeight="1" s="33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21.75" customHeight="1" s="33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21.75" customHeight="1" s="33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21.75" customHeight="1" s="33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21.75" customHeight="1" s="33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21.75" customHeight="1" s="33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21.75" customHeight="1" s="33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21.75" customHeight="1" s="33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21.75" customHeight="1" s="33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21.75" customHeight="1" s="33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21.75" customHeight="1" s="33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21.75" customHeight="1" s="33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21.75" customHeight="1" s="33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21.75" customHeight="1" s="33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21.75" customHeight="1" s="33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21.75" customHeight="1" s="33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21.75" customHeight="1" s="33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21.75" customHeight="1" s="33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21.75" customHeight="1" s="33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21.75" customHeight="1" s="33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21.75" customHeight="1" s="33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21.75" customHeight="1" s="33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21.75" customHeight="1" s="33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21.75" customHeight="1" s="33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21.75" customHeight="1" s="33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21.75" customHeight="1" s="33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21.75" customHeight="1" s="33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21.75" customHeight="1" s="33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21.75" customHeight="1" s="33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21.75" customHeight="1" s="33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21.75" customHeight="1" s="33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21.75" customHeight="1" s="33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21.75" customHeight="1" s="33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21.75" customHeight="1" s="33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21.75" customHeight="1" s="33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21.75" customHeight="1" s="33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21.75" customHeight="1" s="33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21.75" customHeight="1" s="33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21.75" customHeight="1" s="33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21.75" customHeight="1" s="33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21.75" customHeight="1" s="33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21.75" customHeight="1" s="33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21.75" customHeight="1" s="33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21.75" customHeight="1" s="33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21.75" customHeight="1" s="33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21.75" customHeight="1" s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21.75" customHeight="1" s="33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21.75" customHeight="1" s="33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21.75" customHeight="1" s="33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21.75" customHeight="1" s="33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21.75" customHeight="1" s="33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21.75" customHeight="1" s="33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21.75" customHeight="1" s="33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21.75" customHeight="1" s="33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21.75" customHeight="1" s="33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21.75" customHeight="1" s="33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21.75" customHeight="1" s="33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21.75" customHeight="1" s="33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21.75" customHeight="1" s="33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21.75" customHeight="1" s="33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21.75" customHeight="1" s="33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21.75" customHeight="1" s="33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21.75" customHeight="1" s="33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21.75" customHeight="1" s="33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21.75" customHeight="1" s="33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21.75" customHeight="1" s="33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21.75" customHeight="1" s="33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21.75" customHeight="1" s="33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21.75" customHeight="1" s="33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21.75" customHeight="1" s="33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21.75" customHeight="1" s="33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21.75" customHeight="1" s="33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21.75" customHeight="1" s="33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21.75" customHeight="1" s="33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21.75" customHeight="1" s="33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21.75" customHeight="1" s="33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21.75" customHeight="1" s="33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21.75" customHeight="1" s="33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21.75" customHeight="1" s="33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21.75" customHeight="1" s="33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21.75" customHeight="1" s="33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21.75" customHeight="1" s="33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21.75" customHeight="1" s="33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21.75" customHeight="1" s="33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21.75" customHeight="1" s="33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21.75" customHeight="1" s="33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21.75" customHeight="1" s="33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21.75" customHeight="1" s="33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21.75" customHeight="1" s="33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21.75" customHeight="1" s="33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21.75" customHeight="1" s="33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21.75" customHeight="1" s="33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21.75" customHeight="1" s="33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21.75" customHeight="1" s="33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21.75" customHeight="1" s="33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21.75" customHeight="1" s="33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21.75" customHeight="1" s="33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21.75" customHeight="1" s="33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21.75" customHeight="1" s="33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21.75" customHeight="1" s="33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21.75" customHeight="1" s="33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21.75" customHeight="1" s="33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21.75" customHeight="1" s="33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21.75" customHeight="1" s="33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21.75" customHeight="1" s="33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21.75" customHeight="1" s="33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21.75" customHeight="1" s="33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21.75" customHeight="1" s="33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21.75" customHeight="1" s="33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21.75" customHeight="1" s="33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21.75" customHeight="1" s="33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21.75" customHeight="1" s="33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21.75" customHeight="1" s="33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21.75" customHeight="1" s="33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21.75" customHeight="1" s="33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21.75" customHeight="1" s="33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21.75" customHeight="1" s="33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21.75" customHeight="1" s="33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21.75" customHeight="1" s="33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21.75" customHeight="1" s="33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21.75" customHeight="1" s="33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21.75" customHeight="1" s="33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21.75" customHeight="1" s="33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21.75" customHeight="1" s="33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21.75" customHeight="1" s="33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21.75" customHeight="1" s="33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21.75" customHeight="1" s="33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21.75" customHeight="1" s="33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21.75" customHeight="1" s="33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21.75" customHeight="1" s="33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21.75" customHeight="1" s="33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21.75" customHeight="1" s="33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21.75" customHeight="1" s="33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21.75" customHeight="1" s="33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21.75" customHeight="1" s="33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21.75" customHeight="1" s="33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21.75" customHeight="1" s="33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21.75" customHeight="1" s="33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21.75" customHeight="1" s="33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21.75" customHeight="1" s="33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21.75" customHeight="1" s="33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21.75" customHeight="1" s="33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21.75" customHeight="1" s="33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21.75" customHeight="1" s="33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21.75" customHeight="1" s="33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21.75" customHeight="1" s="3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21.75" customHeight="1" s="33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21.75" customHeight="1" s="33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21.75" customHeight="1" s="33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21.75" customHeight="1" s="33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21.75" customHeight="1" s="33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21.75" customHeight="1" s="33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21.75" customHeight="1" s="33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21.75" customHeight="1" s="33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21.75" customHeight="1" s="33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21.75" customHeight="1" s="33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21.75" customHeight="1" s="33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21.75" customHeight="1" s="33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21.75" customHeight="1" s="33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21.75" customHeight="1" s="33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21.75" customHeight="1" s="33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21.75" customHeight="1" s="33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21.75" customHeight="1" s="33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21.75" customHeight="1" s="33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21.75" customHeight="1" s="33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21.75" customHeight="1" s="33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21.75" customHeight="1" s="33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21.75" customHeight="1" s="33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21.75" customHeight="1" s="33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21.75" customHeight="1" s="33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21.75" customHeight="1" s="33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21.75" customHeight="1" s="33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21.75" customHeight="1" s="33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21.75" customHeight="1" s="33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21.75" customHeight="1" s="33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21.75" customHeight="1" s="33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21.75" customHeight="1" s="33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21.75" customHeight="1" s="33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21.75" customHeight="1" s="33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21.75" customHeight="1" s="33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21.75" customHeight="1" s="33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21.75" customHeight="1" s="33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21.75" customHeight="1" s="33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21.75" customHeight="1" s="33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21.75" customHeight="1" s="33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21.75" customHeight="1" s="33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21.75" customHeight="1" s="33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21.75" customHeight="1" s="33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21.75" customHeight="1" s="33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21.75" customHeight="1" s="33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21.75" customHeight="1" s="33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21.75" customHeight="1" s="33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21.75" customHeight="1" s="33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21.75" customHeight="1" s="33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21.75" customHeight="1" s="33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21.75" customHeight="1" s="33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21.75" customHeight="1" s="33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21.75" customHeight="1" s="33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21.75" customHeight="1" s="33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21.75" customHeight="1" s="33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21.75" customHeight="1" s="33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21.75" customHeight="1" s="33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21.75" customHeight="1" s="33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21.75" customHeight="1" s="33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21.75" customHeight="1" s="33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21.75" customHeight="1" s="33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21.75" customHeight="1" s="33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21.75" customHeight="1" s="33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21.75" customHeight="1" s="33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21.75" customHeight="1" s="33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21.75" customHeight="1" s="33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21.75" customHeight="1" s="33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21.75" customHeight="1" s="33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21.75" customHeight="1" s="33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21.75" customHeight="1" s="33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21.75" customHeight="1" s="33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21.75" customHeight="1" s="33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21.75" customHeight="1" s="33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21.75" customHeight="1" s="33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21.75" customHeight="1" s="33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21.75" customHeight="1" s="33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21.75" customHeight="1" s="33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21.75" customHeight="1" s="33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21.75" customHeight="1" s="33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21.75" customHeight="1" s="33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21.75" customHeight="1" s="33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21.75" customHeight="1" s="33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21.75" customHeight="1" s="33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21.75" customHeight="1" s="33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21.75" customHeight="1" s="33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21.75" customHeight="1" s="33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21.75" customHeight="1" s="33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21.75" customHeight="1" s="33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21.75" customHeight="1" s="33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21.75" customHeight="1" s="33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21.75" customHeight="1" s="33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21.75" customHeight="1" s="33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21.75" customHeight="1" s="33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21.75" customHeight="1" s="33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21.75" customHeight="1" s="33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21.75" customHeight="1" s="33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21.75" customHeight="1" s="33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21.75" customHeight="1" s="33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21.75" customHeight="1" s="33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21.75" customHeight="1" s="33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21.75" customHeight="1" s="3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21.75" customHeight="1" s="33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21.75" customHeight="1" s="33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21.75" customHeight="1" s="33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21.75" customHeight="1" s="33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21.75" customHeight="1" s="33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21.75" customHeight="1" s="33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21.75" customHeight="1" s="33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21.75" customHeight="1" s="33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21.75" customHeight="1" s="33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21.75" customHeight="1" s="33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21.75" customHeight="1" s="33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21.75" customHeight="1" s="33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21.75" customHeight="1" s="33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21.75" customHeight="1" s="33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21.75" customHeight="1" s="33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21.75" customHeight="1" s="33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21.75" customHeight="1" s="33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21.75" customHeight="1" s="33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21.75" customHeight="1" s="33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21.75" customHeight="1" s="33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21.75" customHeight="1" s="33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21.75" customHeight="1" s="33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21.75" customHeight="1" s="33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21.75" customHeight="1" s="33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21.75" customHeight="1" s="33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21.75" customHeight="1" s="33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21.75" customHeight="1" s="33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21.75" customHeight="1" s="33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21.75" customHeight="1" s="33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21.75" customHeight="1" s="33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21.75" customHeight="1" s="33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21.75" customHeight="1" s="33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21.75" customHeight="1" s="33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21.75" customHeight="1" s="33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21.75" customHeight="1" s="33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21.75" customHeight="1" s="33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21.75" customHeight="1" s="33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21.75" customHeight="1" s="33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21.75" customHeight="1" s="33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21.75" customHeight="1" s="33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21.75" customHeight="1" s="33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21.75" customHeight="1" s="33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21.75" customHeight="1" s="33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21.75" customHeight="1" s="33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21.75" customHeight="1" s="33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21.75" customHeight="1" s="33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21.75" customHeight="1" s="33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21.75" customHeight="1" s="33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21.75" customHeight="1" s="33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21.75" customHeight="1" s="33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21.75" customHeight="1" s="33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21.75" customHeight="1" s="33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21.75" customHeight="1" s="33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21.75" customHeight="1" s="33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21.75" customHeight="1" s="33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21.75" customHeight="1" s="33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21.75" customHeight="1" s="33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21.75" customHeight="1" s="33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21.75" customHeight="1" s="33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21.75" customHeight="1" s="33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21.75" customHeight="1" s="33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21.75" customHeight="1" s="33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21.75" customHeight="1" s="33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21.75" customHeight="1" s="33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21.75" customHeight="1" s="33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21.75" customHeight="1" s="33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21.75" customHeight="1" s="33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21.75" customHeight="1" s="33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21.75" customHeight="1" s="33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21.75" customHeight="1" s="33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21.75" customHeight="1" s="33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21.75" customHeight="1" s="33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21.75" customHeight="1" s="33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21.75" customHeight="1" s="33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21.75" customHeight="1" s="33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21.75" customHeight="1" s="33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21.75" customHeight="1" s="33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21.75" customHeight="1" s="33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21.75" customHeight="1" s="33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21.75" customHeight="1" s="33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21.75" customHeight="1" s="33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21.75" customHeight="1" s="33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21.75" customHeight="1" s="33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21.75" customHeight="1" s="33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21.75" customHeight="1" s="33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21.75" customHeight="1" s="33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21.75" customHeight="1" s="33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21.75" customHeight="1" s="33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21.75" customHeight="1" s="33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21.75" customHeight="1" s="33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21.75" customHeight="1" s="33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21.75" customHeight="1" s="33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21.75" customHeight="1" s="33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21.75" customHeight="1" s="33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21.75" customHeight="1" s="33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21.75" customHeight="1" s="33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21.75" customHeight="1" s="33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21.75" customHeight="1" s="33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21.75" customHeight="1" s="33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21.75" customHeight="1" s="3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21.75" customHeight="1" s="33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21.75" customHeight="1" s="33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21.75" customHeight="1" s="33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21.75" customHeight="1" s="33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21.75" customHeight="1" s="33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21.75" customHeight="1" s="33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21.75" customHeight="1" s="33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21.75" customHeight="1" s="33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21.75" customHeight="1" s="33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21.75" customHeight="1" s="33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21.75" customHeight="1" s="33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21.75" customHeight="1" s="33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21.75" customHeight="1" s="33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21.75" customHeight="1" s="33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21.75" customHeight="1" s="33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21.75" customHeight="1" s="33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21.75" customHeight="1" s="33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21.75" customHeight="1" s="33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21.75" customHeight="1" s="33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21.75" customHeight="1" s="33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21.75" customHeight="1" s="33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21.75" customHeight="1" s="33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21.75" customHeight="1" s="33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21.75" customHeight="1" s="33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21.75" customHeight="1" s="33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21.75" customHeight="1" s="33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21.75" customHeight="1" s="33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21.75" customHeight="1" s="33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21.75" customHeight="1" s="33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21.75" customHeight="1" s="33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21.75" customHeight="1" s="33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21.75" customHeight="1" s="33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21.75" customHeight="1" s="33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21.75" customHeight="1" s="33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21.75" customHeight="1" s="33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21.75" customHeight="1" s="33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21.75" customHeight="1" s="33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21.75" customHeight="1" s="33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21.75" customHeight="1" s="33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21.75" customHeight="1" s="33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21.75" customHeight="1" s="33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21.75" customHeight="1" s="33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21.75" customHeight="1" s="33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21.75" customHeight="1" s="33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21.75" customHeight="1" s="33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21.75" customHeight="1" s="33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21.75" customHeight="1" s="33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21.75" customHeight="1" s="33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21.75" customHeight="1" s="33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21.75" customHeight="1" s="33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21.75" customHeight="1" s="33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21.75" customHeight="1" s="33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21.75" customHeight="1" s="33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21.75" customHeight="1" s="33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21.75" customHeight="1" s="33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21.75" customHeight="1" s="33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21.75" customHeight="1" s="33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21.75" customHeight="1" s="33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21.75" customHeight="1" s="33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21.75" customHeight="1" s="33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21.75" customHeight="1" s="33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21.75" customHeight="1" s="33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21.75" customHeight="1" s="33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21.75" customHeight="1" s="33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21.75" customHeight="1" s="33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21.75" customHeight="1" s="33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21.75" customHeight="1" s="33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21.75" customHeight="1" s="33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21.75" customHeight="1" s="33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21.75" customHeight="1" s="33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21.75" customHeight="1" s="33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21.75" customHeight="1" s="33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21.75" customHeight="1" s="33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21.75" customHeight="1" s="33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21.75" customHeight="1" s="33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21.75" customHeight="1" s="33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21.75" customHeight="1" s="33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21.75" customHeight="1" s="33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21.75" customHeight="1" s="33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21.75" customHeight="1" s="33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21.75" customHeight="1" s="33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21.75" customHeight="1" s="33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21.75" customHeight="1" s="33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21.75" customHeight="1" s="33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21.75" customHeight="1" s="33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21.75" customHeight="1" s="33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21.75" customHeight="1" s="33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21.75" customHeight="1" s="33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21.75" customHeight="1" s="33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21.75" customHeight="1" s="33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21.75" customHeight="1" s="33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21.75" customHeight="1" s="33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21.75" customHeight="1" s="33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21.75" customHeight="1" s="33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21.75" customHeight="1" s="33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21.75" customHeight="1" s="33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21.75" customHeight="1" s="33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21.75" customHeight="1" s="33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21.75" customHeight="1" s="33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21.75" customHeight="1" s="3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21.75" customHeight="1" s="33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21.75" customHeight="1" s="33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21.75" customHeight="1" s="33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21.75" customHeight="1" s="33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21.75" customHeight="1" s="33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21.75" customHeight="1" s="33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21.75" customHeight="1" s="33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21.75" customHeight="1" s="33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21.75" customHeight="1" s="33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21.75" customHeight="1" s="33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21.75" customHeight="1" s="33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21.75" customHeight="1" s="33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21.75" customHeight="1" s="33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21.75" customHeight="1" s="33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21.75" customHeight="1" s="33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21.75" customHeight="1" s="33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21.75" customHeight="1" s="33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21.75" customHeight="1" s="33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21.75" customHeight="1" s="33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21.75" customHeight="1" s="33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21.75" customHeight="1" s="33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21.75" customHeight="1" s="33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21.75" customHeight="1" s="33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21.75" customHeight="1" s="33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21.75" customHeight="1" s="33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21.75" customHeight="1" s="33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21.75" customHeight="1" s="33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21.75" customHeight="1" s="33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21.75" customHeight="1" s="33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21.75" customHeight="1" s="33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21.75" customHeight="1" s="33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21.75" customHeight="1" s="33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21.75" customHeight="1" s="33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21.75" customHeight="1" s="33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21.75" customHeight="1" s="33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21.75" customHeight="1" s="33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21.75" customHeight="1" s="33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21.75" customHeight="1" s="33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21.75" customHeight="1" s="33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21.75" customHeight="1" s="33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21.75" customHeight="1" s="33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21.75" customHeight="1" s="33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21.75" customHeight="1" s="33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21.75" customHeight="1" s="33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21.75" customHeight="1" s="33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21.75" customHeight="1" s="33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21.75" customHeight="1" s="33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21.75" customHeight="1" s="33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21.75" customHeight="1" s="33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21.75" customHeight="1" s="33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21.75" customHeight="1" s="33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21.75" customHeight="1" s="33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21.75" customHeight="1" s="33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21.75" customHeight="1" s="33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21.75" customHeight="1" s="33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21.75" customHeight="1" s="33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21.75" customHeight="1" s="33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21.75" customHeight="1" s="33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21.75" customHeight="1" s="33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21.75" customHeight="1" s="33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21.75" customHeight="1" s="33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21.75" customHeight="1" s="33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21.75" customHeight="1" s="33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21.75" customHeight="1" s="33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21.75" customHeight="1" s="33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21.75" customHeight="1" s="33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21.75" customHeight="1" s="33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21.75" customHeight="1" s="33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21.75" customHeight="1" s="33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21.75" customHeight="1" s="33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21.75" customHeight="1" s="33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21.75" customHeight="1" s="33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21.75" customHeight="1" s="33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21.75" customHeight="1" s="33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21.75" customHeight="1" s="33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21.75" customHeight="1" s="33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21.75" customHeight="1" s="33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21.75" customHeight="1" s="33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21.75" customHeight="1" s="33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21.75" customHeight="1" s="33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21.75" customHeight="1" s="33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21.75" customHeight="1" s="33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21.75" customHeight="1" s="33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21.75" customHeight="1" s="33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21.75" customHeight="1" s="33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21.75" customHeight="1" s="33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21.75" customHeight="1" s="33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21.75" customHeight="1" s="33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21.75" customHeight="1" s="33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21.75" customHeight="1" s="33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21.75" customHeight="1" s="33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21.75" customHeight="1" s="33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21.75" customHeight="1" s="33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21.75" customHeight="1" s="33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21.75" customHeight="1" s="33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21.75" customHeight="1" s="33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21.75" customHeight="1" s="33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21.75" customHeight="1" s="33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21.75" customHeight="1" s="33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21.75" customHeight="1" s="3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21.75" customHeight="1" s="33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21.75" customHeight="1" s="33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21.75" customHeight="1" s="33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21.75" customHeight="1" s="33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21.75" customHeight="1" s="33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21.75" customHeight="1" s="33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21.75" customHeight="1" s="33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21.75" customHeight="1" s="33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21.75" customHeight="1" s="33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21.75" customHeight="1" s="33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21.75" customHeight="1" s="33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21.75" customHeight="1" s="33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21.75" customHeight="1" s="33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21.75" customHeight="1" s="33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21.75" customHeight="1" s="33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21.75" customHeight="1" s="33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21.75" customHeight="1" s="33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21.75" customHeight="1" s="33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21.75" customHeight="1" s="33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21.75" customHeight="1" s="33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21.75" customHeight="1" s="33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21.75" customHeight="1" s="33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21.75" customHeight="1" s="33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21.75" customHeight="1" s="33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21.75" customHeight="1" s="33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21.75" customHeight="1" s="33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21.75" customHeight="1" s="33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21.75" customHeight="1" s="33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21.75" customHeight="1" s="33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21.75" customHeight="1" s="33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21.75" customHeight="1" s="33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21.75" customHeight="1" s="33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21.75" customHeight="1" s="33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21.75" customHeight="1" s="33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21.75" customHeight="1" s="33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21.75" customHeight="1" s="33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21.75" customHeight="1" s="33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21.75" customHeight="1" s="33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21.75" customHeight="1" s="33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21.75" customHeight="1" s="33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21.75" customHeight="1" s="33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21.75" customHeight="1" s="33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21.75" customHeight="1" s="33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21.75" customHeight="1" s="33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21.75" customHeight="1" s="33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21.75" customHeight="1" s="33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21.75" customHeight="1" s="33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21.75" customHeight="1" s="33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21.75" customHeight="1" s="33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21.75" customHeight="1" s="33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21.75" customHeight="1" s="33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21.75" customHeight="1" s="33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21.75" customHeight="1" s="33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21.75" customHeight="1" s="33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21.75" customHeight="1" s="33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21.75" customHeight="1" s="33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21.75" customHeight="1" s="33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21.75" customHeight="1" s="33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21.75" customHeight="1" s="33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21.75" customHeight="1" s="33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21.75" customHeight="1" s="33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21.75" customHeight="1" s="33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21.75" customHeight="1" s="33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21.75" customHeight="1" s="33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21.75" customHeight="1" s="33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21.75" customHeight="1" s="33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21.75" customHeight="1" s="33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21.75" customHeight="1" s="33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21.75" customHeight="1" s="33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21.75" customHeight="1" s="33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21.75" customHeight="1" s="33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21.75" customHeight="1" s="33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21.75" customHeight="1" s="33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21.75" customHeight="1" s="33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21.75" customHeight="1" s="33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21.75" customHeight="1" s="33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21.75" customHeight="1" s="33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21.75" customHeight="1" s="33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21.75" customHeight="1" s="33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21.75" customHeight="1" s="33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21.75" customHeight="1" s="33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21.75" customHeight="1" s="33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21.75" customHeight="1" s="33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21.75" customHeight="1" s="33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21.75" customHeight="1" s="33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21.75" customHeight="1" s="33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21.75" customHeight="1" s="33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21.75" customHeight="1" s="33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21.75" customHeight="1" s="33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21.75" customHeight="1" s="33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21.75" customHeight="1" s="33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21.75" customHeight="1" s="33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21.75" customHeight="1" s="33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21.75" customHeight="1" s="33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21.75" customHeight="1" s="33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21.75" customHeight="1" s="33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21.75" customHeight="1" s="33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21.75" customHeight="1" s="33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21.75" customHeight="1" s="33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21.75" customHeight="1" s="3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21.75" customHeight="1" s="33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21.75" customHeight="1" s="33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21.75" customHeight="1" s="33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21.75" customHeight="1" s="33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21.75" customHeight="1" s="33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21.75" customHeight="1" s="33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21.75" customHeight="1" s="33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21.75" customHeight="1" s="33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21.75" customHeight="1" s="33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21.75" customHeight="1" s="33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21.75" customHeight="1" s="33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21.75" customHeight="1" s="33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21.75" customHeight="1" s="33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21.75" customHeight="1" s="33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21.75" customHeight="1" s="33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21.75" customHeight="1" s="33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21.75" customHeight="1" s="33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21.75" customHeight="1" s="33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21.75" customHeight="1" s="33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21.75" customHeight="1" s="33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21.75" customHeight="1" s="33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21.75" customHeight="1" s="33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21.75" customHeight="1" s="33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21.75" customHeight="1" s="33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21.75" customHeight="1" s="33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21.75" customHeight="1" s="33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21.75" customHeight="1" s="33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21.75" customHeight="1" s="33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21.75" customHeight="1" s="33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21.75" customHeight="1" s="33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21.75" customHeight="1" s="33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21.75" customHeight="1" s="33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21.75" customHeight="1" s="33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21.75" customHeight="1" s="33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21.75" customHeight="1" s="33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21.75" customHeight="1" s="33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21.75" customHeight="1" s="33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21.75" customHeight="1" s="33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21.75" customHeight="1" s="33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21.75" customHeight="1" s="33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21.75" customHeight="1" s="33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21.75" customHeight="1" s="33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21.75" customHeight="1" s="33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21.75" customHeight="1" s="33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21.75" customHeight="1" s="33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21.75" customHeight="1" s="33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21.75" customHeight="1" s="33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21.75" customHeight="1" s="33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21.75" customHeight="1" s="33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21.75" customHeight="1" s="33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21.75" customHeight="1" s="33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21.75" customHeight="1" s="33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21.75" customHeight="1" s="33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21.75" customHeight="1" s="33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21.75" customHeight="1" s="33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21.75" customHeight="1" s="33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21.75" customHeight="1" s="33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21.75" customHeight="1" s="33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21.75" customHeight="1" s="33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21.75" customHeight="1" s="33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21.75" customHeight="1" s="33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21.75" customHeight="1" s="33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21.75" customHeight="1" s="33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21.75" customHeight="1" s="33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21.75" customHeight="1" s="33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pageMargins left="0.18" right="0.15" top="0.27" bottom="0.2" header="0" footer="0"/>
  <pageSetup orientation="landscape" paperSize="9" scale="5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2026-04-24T04:59:58Z</dcterms:modified>
  <cp:lastModifiedBy>山本　悠菜</cp:lastModifiedBy>
</cp:coreProperties>
</file>