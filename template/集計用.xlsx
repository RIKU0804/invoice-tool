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</numFmts>
  <fonts count="35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/>
      <right/>
      <top style="medium"/>
      <bottom/>
    </border>
    <border>
      <left/>
      <right/>
      <top style="medium"/>
      <bottom/>
    </border>
    <border>
      <left/>
      <right style="medium"/>
      <top style="medium"/>
      <bottom/>
    </border>
    <border>
      <left style="medium"/>
      <right/>
      <top/>
      <bottom/>
    </border>
    <border>
      <left/>
      <right/>
      <top/>
      <bottom/>
    </border>
    <border>
      <left/>
      <right style="medium"/>
      <top/>
      <bottom/>
    </border>
    <border>
      <left style="medium"/>
      <right/>
      <top/>
      <bottom style="medium"/>
    </border>
    <border>
      <left/>
      <right/>
      <top/>
      <bottom style="medium"/>
    </border>
    <border>
      <left/>
      <right style="medium"/>
      <top/>
      <bottom style="medium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2" applyAlignment="1" pivotButton="0" quotePrefix="0" xfId="0">
      <alignment horizontal="general" vertical="center"/>
    </xf>
    <xf numFmtId="0" fontId="0" fillId="0" borderId="53" pivotButton="0" quotePrefix="0" xfId="0"/>
    <xf numFmtId="168" fontId="32" fillId="0" borderId="53" applyAlignment="1" pivotButton="0" quotePrefix="0" xfId="0">
      <alignment horizontal="general" vertical="center"/>
    </xf>
    <xf numFmtId="0" fontId="0" fillId="0" borderId="5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9" customWidth="1" style="91" min="13" max="26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121" t="n"/>
      <c r="F5" s="122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34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149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162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inlineStr">
        <is>
          <t>差額</t>
        </is>
      </c>
      <c r="L27" s="170" t="inlineStr">
        <is>
          <t>※インボイス端数差</t>
        </is>
      </c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187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C30" s="191" t="n"/>
      <c r="D30" s="191" t="n"/>
      <c r="E30" s="191" t="n"/>
      <c r="F30" s="191" t="n"/>
      <c r="G30" s="191" t="n"/>
      <c r="H30" s="191" t="n"/>
      <c r="I30" s="191" t="n"/>
      <c r="J30" s="192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C31" s="191" t="n"/>
      <c r="D31" s="191" t="n"/>
      <c r="E31" s="191" t="n"/>
      <c r="F31" s="191" t="n"/>
      <c r="G31" s="191" t="n"/>
      <c r="H31" s="191" t="n"/>
      <c r="I31" s="191" t="n"/>
      <c r="J31" s="192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C32" s="191" t="n"/>
      <c r="D32" s="191" t="n"/>
      <c r="E32" s="191" t="n"/>
      <c r="F32" s="191" t="n"/>
      <c r="G32" s="191" t="n"/>
      <c r="H32" s="191" t="n"/>
      <c r="I32" s="191" t="n"/>
      <c r="J32" s="192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C33" s="191" t="n"/>
      <c r="D33" s="191" t="n"/>
      <c r="E33" s="191" t="n"/>
      <c r="F33" s="191" t="n"/>
      <c r="G33" s="191" t="n"/>
      <c r="H33" s="191" t="n"/>
      <c r="I33" s="191" t="n"/>
      <c r="J33" s="192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3" t="inlineStr">
        <is>
          <t>【振込金額照合（税抜⇔税込の二重計算）】</t>
        </is>
      </c>
      <c r="C34" s="191" t="n"/>
      <c r="D34" s="191" t="n"/>
      <c r="E34" s="191" t="n"/>
      <c r="F34" s="191" t="n"/>
      <c r="G34" s="191" t="n"/>
      <c r="H34" s="191" t="n"/>
      <c r="I34" s="191" t="n"/>
      <c r="J34" s="192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4" t="inlineStr">
        <is>
          <t>① 振込金額（税込・実際に振り込まれた額）</t>
        </is>
      </c>
      <c r="C35" s="195" t="n"/>
      <c r="D35" s="196" t="n"/>
      <c r="E35" s="195" t="n"/>
      <c r="F35" s="195" t="n"/>
      <c r="G35" s="195" t="n"/>
      <c r="H35" s="195" t="n"/>
      <c r="I35" s="195" t="n"/>
      <c r="J35" s="197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inlineStr">
        <is>
          <t>② 税込相殺（PDF・手入力）</t>
        </is>
      </c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70" t="inlineStr">
        <is>
          <t>③ 税込工事代計（① − ②）</t>
        </is>
      </c>
      <c r="C37" s="93" t="n"/>
      <c r="D37" s="181">
        <f>D35-D36</f>
        <v/>
      </c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④ 税抜逆算（③ ÷ 1.1）</t>
        </is>
      </c>
      <c r="C38" s="93" t="n"/>
      <c r="D38" s="181">
        <f>ROUND(D37/1.1,0)</f>
        <v/>
      </c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⑤ Excel税抜合計（J24）</t>
        </is>
      </c>
      <c r="C39" s="93" t="n"/>
      <c r="D39" s="181">
        <f>J24</f>
        <v/>
      </c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5" t="inlineStr">
        <is>
          <t>⑥ 差額（⑤ − ④）</t>
        </is>
      </c>
      <c r="C40" s="93" t="n"/>
      <c r="D40" s="186">
        <f>D39-D38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※ ±数円→インボイス端数差(正常) / 大きな差→PDF読取エラーの可能性</t>
        </is>
      </c>
      <c r="C41" s="93" t="n"/>
      <c r="D41" s="93" t="n"/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n"/>
      <c r="C42" s="93" t="n"/>
      <c r="D42" s="93" t="n"/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C25:D25"/>
    <mergeCell ref="K1:L1"/>
    <mergeCell ref="E25:H25"/>
    <mergeCell ref="E26:F27"/>
  </mergeCells>
  <conditionalFormatting sqref="D40">
    <cfRule type="expression" rank="0" priority="2" equalAverage="0" aboveAverage="0" dxfId="0" text="" percent="0" bottom="0">
      <formula>ABS(D40)&gt;10</formula>
    </cfRule>
    <cfRule type="expression" rank="0" priority="3" equalAverage="0" aboveAverage="0" dxfId="1" text="" percent="0" bottom="0">
      <formula>AND(ABS(D40)&lt;=10,D40&lt;&gt;"")</formula>
    </cfRule>
  </conditionalFormatting>
  <conditionalFormatting sqref="K5:K23">
    <cfRule type="expression" rank="0" priority="4" equalAverage="0" aboveAverage="0" dxfId="2" text="" percent="0" bottom="0">
      <formula>AND(K5="",B5&lt;&gt;"")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2026-04-23T14:02:43Z</dcterms:modified>
  <cp:lastModifiedBy>山本　悠菜</cp:lastModifiedBy>
  <cp:revision>0</cp:revision>
  <cp:lastPrinted>2026-04-19T09:57:29Z</cp:lastPrinted>
</cp:coreProperties>
</file>