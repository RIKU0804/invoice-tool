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iku0\Downloads\"/>
    </mc:Choice>
  </mc:AlternateContent>
  <xr:revisionPtr revIDLastSave="0" documentId="13_ncr:1_{596898F5-D61E-470E-93FB-658E8B4E254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テンプレート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1" l="1"/>
  <c r="D41" i="1" s="1"/>
  <c r="L31" i="1"/>
  <c r="L30" i="1"/>
  <c r="L29" i="1"/>
  <c r="I25" i="1"/>
  <c r="I24" i="1"/>
  <c r="H24" i="1"/>
  <c r="G24" i="1"/>
  <c r="F24" i="1"/>
  <c r="E24" i="1"/>
  <c r="E26" i="1" s="1"/>
  <c r="D24" i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O8" i="1"/>
  <c r="J8" i="1"/>
  <c r="L8" i="1" s="1"/>
  <c r="O7" i="1"/>
  <c r="J7" i="1"/>
  <c r="L7" i="1" s="1"/>
  <c r="O6" i="1"/>
  <c r="J6" i="1"/>
  <c r="L6" i="1" s="1"/>
  <c r="O5" i="1"/>
  <c r="J5" i="1"/>
  <c r="L5" i="1" s="1"/>
  <c r="O9" i="1" l="1"/>
  <c r="J24" i="1"/>
  <c r="D42" i="1" l="1"/>
  <c r="D43" i="1" s="1"/>
  <c r="L24" i="1"/>
</calcChain>
</file>

<file path=xl/sharedStrings.xml><?xml version="1.0" encoding="utf-8"?>
<sst xmlns="http://schemas.openxmlformats.org/spreadsheetml/2006/main" count="38" uniqueCount="35">
  <si>
    <t>受注一覧表</t>
  </si>
  <si>
    <t>2025/1/15 更新</t>
  </si>
  <si>
    <t>〇〇〇〇年〇月　着工=受注　ベース</t>
  </si>
  <si>
    <t>＊数字は【税抜き】です。</t>
  </si>
  <si>
    <t>顧客名</t>
  </si>
  <si>
    <t>工事名称</t>
  </si>
  <si>
    <t>一般売上</t>
  </si>
  <si>
    <t>①税 抜</t>
  </si>
  <si>
    <t>②社保</t>
  </si>
  <si>
    <t>③生産課</t>
  </si>
  <si>
    <t>④材料費</t>
  </si>
  <si>
    <t>⑤外注　小林</t>
  </si>
  <si>
    <t>⑥外注　南</t>
  </si>
  <si>
    <t>⑦粗利益</t>
  </si>
  <si>
    <t>班　長</t>
  </si>
  <si>
    <t>粗利率</t>
  </si>
  <si>
    <t>山本</t>
  </si>
  <si>
    <t>熱田</t>
  </si>
  <si>
    <t>安保</t>
  </si>
  <si>
    <t>未入力</t>
  </si>
  <si>
    <t>合計</t>
  </si>
  <si>
    <t>売上合計</t>
  </si>
  <si>
    <t>原材料　経費　合計</t>
  </si>
  <si>
    <t>利益</t>
  </si>
  <si>
    <t>【振込金額照合（税抜⇔税込の二重計算）】</t>
  </si>
  <si>
    <t>② 税込相殺(PDF・手入力)</t>
  </si>
  <si>
    <t>③ 税込工事代計(① − ②)</t>
  </si>
  <si>
    <t>④ 税抜逆算(③ ÷ 1.1)</t>
  </si>
  <si>
    <t>⑤ Excel税抜合計(J24)</t>
  </si>
  <si>
    <t>⑥ 差額(⑤ − ④)</t>
    <phoneticPr fontId="27"/>
  </si>
  <si>
    <t>※±数円→インボイス端数差(正常) / 大きな差→PDF読取エラーの可能性</t>
    <phoneticPr fontId="27"/>
  </si>
  <si>
    <t>① 振込金額(税込)</t>
    <phoneticPr fontId="27"/>
  </si>
  <si>
    <t>【担当邸数】</t>
    <phoneticPr fontId="27"/>
  </si>
  <si>
    <t>班長</t>
    <phoneticPr fontId="27"/>
  </si>
  <si>
    <t>邸数</t>
    <phoneticPr fontId="2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</si>
</sst>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/d/yyyy"/>
    <numFmt numFmtId="177" formatCode="#,##0_);[Red]\(#,##0\)"/>
    <numFmt numFmtId="178" formatCode="&quot;生産課 支払 &quot;#,##0"/>
    <numFmt numFmtId="179" formatCode="&quot;太陽光&quot;0&quot;件&quot;"/>
    <numFmt numFmtId="180" formatCode="#,##0;[Red]\▲#,##0"/>
  </numFmts>
  <fonts count="32">
    <font>
      <sz val="11"/>
      <color rgb="FF000000"/>
      <name val="Calibri"/>
      <family val="2"/>
      <charset val="1"/>
    </font>
    <font>
      <sz val="17"/>
      <color theme="1"/>
      <name val="Meiryo"/>
      <family val="3"/>
      <charset val="128"/>
    </font>
    <font>
      <sz val="17"/>
      <color theme="1"/>
      <name val="Noto Sans CJK SC"/>
      <family val="2"/>
      <charset val="1"/>
    </font>
    <font>
      <sz val="17"/>
      <color theme="1"/>
      <name val="Noto Sans CJK SC"/>
      <family val="2"/>
    </font>
    <font>
      <b/>
      <u/>
      <sz val="17"/>
      <color theme="1"/>
      <name val="Meiryo"/>
      <family val="3"/>
      <charset val="128"/>
    </font>
    <font>
      <b/>
      <u/>
      <sz val="17"/>
      <color theme="1"/>
      <name val="Noto Sans CJK SC"/>
      <family val="2"/>
    </font>
    <font>
      <sz val="17"/>
      <color rgb="FF0000FF"/>
      <name val="Noto Sans CJK SC"/>
      <family val="2"/>
      <charset val="1"/>
    </font>
    <font>
      <b/>
      <sz val="17"/>
      <color theme="1"/>
      <name val="Noto Sans CJK SC"/>
      <family val="2"/>
      <charset val="1"/>
    </font>
    <font>
      <b/>
      <sz val="17"/>
      <color rgb="FFFF0000"/>
      <name val="Noto Sans CJK SC"/>
      <family val="2"/>
      <charset val="1"/>
    </font>
    <font>
      <sz val="18"/>
      <color rgb="FF000000"/>
      <name val="Noto Sans CJK SC"/>
      <family val="2"/>
      <charset val="1"/>
    </font>
    <font>
      <sz val="17"/>
      <color rgb="FFFF0000"/>
      <name val="Meiryo"/>
      <family val="3"/>
      <charset val="128"/>
    </font>
    <font>
      <sz val="17"/>
      <color rgb="FF366092"/>
      <name val="Meiryo"/>
      <family val="3"/>
      <charset val="128"/>
    </font>
    <font>
      <b/>
      <sz val="17"/>
      <color rgb="FF76923C"/>
      <name val="Noto Sans CJK SC"/>
      <family val="2"/>
      <charset val="1"/>
    </font>
    <font>
      <b/>
      <sz val="17"/>
      <color rgb="FF95B3D7"/>
      <name val="Noto Sans CJK SC"/>
      <family val="2"/>
      <charset val="1"/>
    </font>
    <font>
      <b/>
      <sz val="17"/>
      <color rgb="FFE36C09"/>
      <name val="Noto Sans CJK SC"/>
      <family val="2"/>
      <charset val="1"/>
    </font>
    <font>
      <sz val="17"/>
      <color rgb="FF632423"/>
      <name val="Meiryo"/>
      <family val="3"/>
      <charset val="128"/>
    </font>
    <font>
      <b/>
      <sz val="17"/>
      <color rgb="FF95B3D7"/>
      <name val="Meiryo"/>
      <family val="3"/>
      <charset val="128"/>
    </font>
    <font>
      <b/>
      <sz val="17"/>
      <color theme="1"/>
      <name val="Meiryo"/>
      <family val="3"/>
      <charset val="128"/>
    </font>
    <font>
      <b/>
      <sz val="17"/>
      <color theme="0"/>
      <name val="Meiryo"/>
      <family val="3"/>
      <charset val="128"/>
    </font>
    <font>
      <b/>
      <sz val="17"/>
      <color rgb="FFFF0000"/>
      <name val="Meiryo"/>
      <family val="3"/>
      <charset val="128"/>
    </font>
    <font>
      <sz val="17"/>
      <color theme="0"/>
      <name val="Noto Sans CJK SC"/>
      <family val="2"/>
      <charset val="1"/>
    </font>
    <font>
      <b/>
      <u/>
      <sz val="20"/>
      <color theme="1"/>
      <name val="Meiryo"/>
      <family val="3"/>
      <charset val="128"/>
    </font>
    <font>
      <sz val="17"/>
      <color rgb="FF632423"/>
      <name val="Noto Sans CJK SC"/>
      <family val="2"/>
    </font>
    <font>
      <b/>
      <u/>
      <sz val="17"/>
      <color theme="1"/>
      <name val="Noto Sans CJK SC"/>
      <family val="2"/>
      <charset val="1"/>
    </font>
    <font>
      <sz val="17"/>
      <name val="Noto Sans CJK SC"/>
      <family val="3"/>
      <charset val="128"/>
    </font>
    <font>
      <sz val="17"/>
      <name val="Meiryo"/>
      <family val="3"/>
      <charset val="128"/>
    </font>
    <font>
      <sz val="17"/>
      <color theme="1"/>
      <name val="Meiryo"/>
      <family val="3"/>
      <charset val="128"/>
    </font>
    <font>
      <sz val="6"/>
      <name val="ＭＳ Ｐゴシック"/>
      <family val="3"/>
      <charset val="128"/>
    </font>
    <font>
      <sz val="17"/>
      <name val="Meiryo UI"/>
      <family val="3"/>
      <charset val="128"/>
    </font>
    <font>
      <sz val="17"/>
      <color theme="1"/>
      <name val="Meiryo UI"/>
      <family val="3"/>
      <charset val="128"/>
    </font>
    <font>
      <sz val="16.5"/>
      <color theme="1"/>
      <name val="Meiryo"/>
      <family val="3"/>
      <charset val="128"/>
    </font>
    <font>
      <b/>
      <sz val="17"/>
      <name val="Noto Sans JP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vertical="center" shrinkToFit="1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shrinkToFit="1"/>
    </xf>
    <xf numFmtId="0" fontId="2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shrinkToFit="1"/>
    </xf>
    <xf numFmtId="0" fontId="2" fillId="2" borderId="7" xfId="0" applyFont="1" applyFill="1" applyBorder="1" applyAlignment="1">
      <alignment horizontal="center" vertical="center" shrinkToFit="1"/>
    </xf>
    <xf numFmtId="0" fontId="2" fillId="2" borderId="8" xfId="0" applyFont="1" applyFill="1" applyBorder="1" applyAlignment="1">
      <alignment horizontal="center" vertical="center" shrinkToFit="1"/>
    </xf>
    <xf numFmtId="0" fontId="2" fillId="2" borderId="9" xfId="0" applyFont="1" applyFill="1" applyBorder="1" applyAlignment="1">
      <alignment horizontal="center" vertical="center" shrinkToFit="1"/>
    </xf>
    <xf numFmtId="0" fontId="2" fillId="2" borderId="10" xfId="0" applyFont="1" applyFill="1" applyBorder="1" applyAlignment="1">
      <alignment horizontal="center" vertical="center" shrinkToFit="1"/>
    </xf>
    <xf numFmtId="0" fontId="6" fillId="4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shrinkToFit="1"/>
    </xf>
    <xf numFmtId="0" fontId="8" fillId="5" borderId="11" xfId="0" applyFont="1" applyFill="1" applyBorder="1" applyAlignment="1">
      <alignment horizontal="center" vertical="center" wrapText="1"/>
    </xf>
    <xf numFmtId="176" fontId="2" fillId="0" borderId="13" xfId="0" applyNumberFormat="1" applyFont="1" applyBorder="1" applyAlignment="1">
      <alignment horizontal="left" vertical="center" shrinkToFit="1"/>
    </xf>
    <xf numFmtId="177" fontId="1" fillId="0" borderId="14" xfId="0" applyNumberFormat="1" applyFont="1" applyBorder="1" applyAlignment="1">
      <alignment horizontal="right" vertical="center"/>
    </xf>
    <xf numFmtId="177" fontId="10" fillId="0" borderId="13" xfId="0" applyNumberFormat="1" applyFont="1" applyBorder="1" applyAlignment="1">
      <alignment horizontal="right" vertical="center"/>
    </xf>
    <xf numFmtId="177" fontId="11" fillId="0" borderId="16" xfId="0" applyNumberFormat="1" applyFont="1" applyBorder="1" applyAlignment="1">
      <alignment horizontal="right" vertical="center"/>
    </xf>
    <xf numFmtId="177" fontId="11" fillId="0" borderId="13" xfId="0" applyNumberFormat="1" applyFont="1" applyBorder="1" applyAlignment="1">
      <alignment horizontal="right" vertical="center"/>
    </xf>
    <xf numFmtId="0" fontId="12" fillId="0" borderId="13" xfId="0" applyFont="1" applyBorder="1" applyAlignment="1">
      <alignment horizontal="left" vertical="center" shrinkToFit="1"/>
    </xf>
    <xf numFmtId="10" fontId="10" fillId="5" borderId="17" xfId="0" applyNumberFormat="1" applyFont="1" applyFill="1" applyBorder="1" applyAlignment="1">
      <alignment horizontal="right" vertical="center"/>
    </xf>
    <xf numFmtId="0" fontId="2" fillId="0" borderId="13" xfId="0" applyFont="1" applyBorder="1" applyAlignment="1">
      <alignment horizontal="left" vertical="center" shrinkToFit="1"/>
    </xf>
    <xf numFmtId="177" fontId="1" fillId="0" borderId="13" xfId="0" applyNumberFormat="1" applyFont="1" applyBorder="1" applyAlignment="1">
      <alignment horizontal="right" vertical="center"/>
    </xf>
    <xf numFmtId="177" fontId="1" fillId="0" borderId="15" xfId="0" applyNumberFormat="1" applyFont="1" applyBorder="1" applyAlignment="1">
      <alignment horizontal="right" vertical="center"/>
    </xf>
    <xf numFmtId="0" fontId="2" fillId="0" borderId="18" xfId="0" applyFont="1" applyBorder="1" applyAlignment="1">
      <alignment vertical="center" shrinkToFit="1"/>
    </xf>
    <xf numFmtId="0" fontId="13" fillId="0" borderId="13" xfId="0" applyFont="1" applyBorder="1" applyAlignment="1">
      <alignment horizontal="right" vertical="center" shrinkToFit="1"/>
    </xf>
    <xf numFmtId="176" fontId="1" fillId="0" borderId="13" xfId="0" applyNumberFormat="1" applyFont="1" applyBorder="1" applyAlignment="1">
      <alignment horizontal="left" vertical="center" shrinkToFit="1"/>
    </xf>
    <xf numFmtId="0" fontId="14" fillId="0" borderId="13" xfId="0" applyFont="1" applyBorder="1" applyAlignment="1">
      <alignment horizontal="center" vertical="center" shrinkToFit="1"/>
    </xf>
    <xf numFmtId="0" fontId="15" fillId="0" borderId="0" xfId="0" applyFont="1" applyAlignment="1">
      <alignment vertical="center"/>
    </xf>
    <xf numFmtId="0" fontId="1" fillId="0" borderId="19" xfId="0" applyFont="1" applyBorder="1" applyAlignment="1">
      <alignment vertical="center" shrinkToFit="1"/>
    </xf>
    <xf numFmtId="0" fontId="1" fillId="0" borderId="20" xfId="0" applyFont="1" applyBorder="1" applyAlignment="1">
      <alignment horizontal="left" vertical="center" shrinkToFit="1"/>
    </xf>
    <xf numFmtId="177" fontId="1" fillId="0" borderId="21" xfId="0" applyNumberFormat="1" applyFont="1" applyBorder="1" applyAlignment="1">
      <alignment horizontal="right" vertical="center"/>
    </xf>
    <xf numFmtId="177" fontId="1" fillId="0" borderId="20" xfId="0" applyNumberFormat="1" applyFont="1" applyBorder="1" applyAlignment="1">
      <alignment horizontal="right" vertical="center"/>
    </xf>
    <xf numFmtId="177" fontId="1" fillId="0" borderId="22" xfId="0" applyNumberFormat="1" applyFont="1" applyBorder="1" applyAlignment="1">
      <alignment horizontal="right" vertical="center"/>
    </xf>
    <xf numFmtId="177" fontId="10" fillId="0" borderId="20" xfId="0" applyNumberFormat="1" applyFont="1" applyBorder="1" applyAlignment="1">
      <alignment horizontal="right" vertical="center"/>
    </xf>
    <xf numFmtId="177" fontId="11" fillId="0" borderId="23" xfId="0" applyNumberFormat="1" applyFont="1" applyBorder="1" applyAlignment="1">
      <alignment horizontal="right" vertical="center"/>
    </xf>
    <xf numFmtId="177" fontId="11" fillId="0" borderId="20" xfId="0" applyNumberFormat="1" applyFont="1" applyBorder="1" applyAlignment="1">
      <alignment horizontal="right" vertical="center"/>
    </xf>
    <xf numFmtId="0" fontId="16" fillId="0" borderId="20" xfId="0" applyFont="1" applyBorder="1" applyAlignment="1">
      <alignment horizontal="right" vertical="center" shrinkToFit="1"/>
    </xf>
    <xf numFmtId="0" fontId="1" fillId="4" borderId="25" xfId="0" applyFont="1" applyFill="1" applyBorder="1" applyAlignment="1">
      <alignment vertical="center" shrinkToFit="1"/>
    </xf>
    <xf numFmtId="177" fontId="17" fillId="4" borderId="26" xfId="0" applyNumberFormat="1" applyFont="1" applyFill="1" applyBorder="1" applyAlignment="1">
      <alignment horizontal="right" vertical="center"/>
    </xf>
    <xf numFmtId="177" fontId="10" fillId="7" borderId="27" xfId="0" applyNumberFormat="1" applyFont="1" applyFill="1" applyBorder="1" applyAlignment="1">
      <alignment horizontal="right" vertical="center"/>
    </xf>
    <xf numFmtId="177" fontId="10" fillId="7" borderId="28" xfId="0" applyNumberFormat="1" applyFont="1" applyFill="1" applyBorder="1" applyAlignment="1">
      <alignment horizontal="right" vertical="center"/>
    </xf>
    <xf numFmtId="177" fontId="18" fillId="8" borderId="29" xfId="0" applyNumberFormat="1" applyFont="1" applyFill="1" applyBorder="1" applyAlignment="1">
      <alignment horizontal="right" vertical="center"/>
    </xf>
    <xf numFmtId="0" fontId="1" fillId="4" borderId="27" xfId="0" applyFont="1" applyFill="1" applyBorder="1" applyAlignment="1">
      <alignment horizontal="center" vertical="center" shrinkToFit="1"/>
    </xf>
    <xf numFmtId="10" fontId="19" fillId="4" borderId="30" xfId="0" applyNumberFormat="1" applyFont="1" applyFill="1" applyBorder="1" applyAlignment="1">
      <alignment horizontal="right" vertical="center"/>
    </xf>
    <xf numFmtId="3" fontId="17" fillId="7" borderId="0" xfId="0" applyNumberFormat="1" applyFont="1" applyFill="1" applyAlignment="1">
      <alignment vertical="center"/>
    </xf>
    <xf numFmtId="0" fontId="20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7" fillId="0" borderId="0" xfId="0" applyNumberFormat="1" applyFont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right" vertical="center"/>
    </xf>
    <xf numFmtId="0" fontId="2" fillId="0" borderId="0" xfId="0" applyFont="1" applyAlignment="1">
      <alignment vertical="center"/>
    </xf>
    <xf numFmtId="177" fontId="1" fillId="0" borderId="0" xfId="0" applyNumberFormat="1" applyFont="1" applyAlignment="1">
      <alignment vertical="center"/>
    </xf>
    <xf numFmtId="0" fontId="12" fillId="0" borderId="31" xfId="0" applyFont="1" applyBorder="1" applyAlignment="1">
      <alignment horizontal="left" vertical="center" shrinkToFit="1"/>
    </xf>
    <xf numFmtId="177" fontId="1" fillId="0" borderId="12" xfId="0" applyNumberFormat="1" applyFont="1" applyBorder="1" applyAlignment="1">
      <alignment vertical="center"/>
    </xf>
    <xf numFmtId="0" fontId="14" fillId="0" borderId="31" xfId="0" applyFont="1" applyBorder="1" applyAlignment="1">
      <alignment horizontal="center" vertical="center" shrinkToFit="1"/>
    </xf>
    <xf numFmtId="0" fontId="13" fillId="0" borderId="31" xfId="0" applyFont="1" applyBorder="1" applyAlignment="1">
      <alignment horizontal="right" vertical="center" shrinkToFit="1"/>
    </xf>
    <xf numFmtId="179" fontId="1" fillId="6" borderId="31" xfId="0" applyNumberFormat="1" applyFont="1" applyFill="1" applyBorder="1" applyAlignment="1">
      <alignment horizontal="center" vertical="center" shrinkToFit="1"/>
    </xf>
    <xf numFmtId="180" fontId="1" fillId="0" borderId="0" xfId="0" applyNumberFormat="1" applyFont="1" applyAlignment="1">
      <alignment vertical="center"/>
    </xf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23" fillId="0" borderId="39" xfId="0" applyFont="1" applyBorder="1"/>
    <xf numFmtId="0" fontId="24" fillId="0" borderId="41" xfId="0" applyFont="1" applyBorder="1" applyAlignment="1">
      <alignment vertical="center"/>
    </xf>
    <xf numFmtId="0" fontId="0" fillId="0" borderId="42" xfId="0" applyBorder="1"/>
    <xf numFmtId="180" fontId="25" fillId="0" borderId="42" xfId="0" applyNumberFormat="1" applyFont="1" applyBorder="1" applyAlignment="1">
      <alignment vertical="center"/>
    </xf>
    <xf numFmtId="0" fontId="0" fillId="0" borderId="43" xfId="0" applyBorder="1"/>
    <xf numFmtId="0" fontId="1" fillId="0" borderId="44" xfId="0" applyFont="1" applyBorder="1" applyAlignment="1">
      <alignment horizontal="left" vertical="top" wrapText="1"/>
    </xf>
    <xf numFmtId="10" fontId="10" fillId="5" borderId="24" xfId="0" applyNumberFormat="1" applyFont="1" applyFill="1" applyBorder="1" applyAlignment="1">
      <alignment horizontal="right" vertical="center"/>
    </xf>
    <xf numFmtId="177" fontId="26" fillId="0" borderId="13" xfId="0" applyNumberFormat="1" applyFont="1" applyBorder="1" applyAlignment="1">
      <alignment horizontal="right" vertical="center"/>
    </xf>
    <xf numFmtId="177" fontId="26" fillId="0" borderId="15" xfId="0" applyNumberFormat="1" applyFont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2" fillId="7" borderId="0" xfId="0" applyFont="1" applyFill="1" applyAlignment="1">
      <alignment horizontal="right" vertical="center"/>
    </xf>
    <xf numFmtId="178" fontId="21" fillId="0" borderId="29" xfId="0" applyNumberFormat="1" applyFont="1" applyBorder="1" applyAlignment="1">
      <alignment horizontal="center" vertical="center"/>
    </xf>
    <xf numFmtId="0" fontId="0" fillId="0" borderId="33" xfId="0" applyBorder="1"/>
    <xf numFmtId="0" fontId="0" fillId="0" borderId="35" xfId="0" applyBorder="1"/>
    <xf numFmtId="0" fontId="0" fillId="0" borderId="36" xfId="0" applyBorder="1"/>
    <xf numFmtId="0" fontId="1" fillId="2" borderId="45" xfId="0" applyFont="1" applyFill="1" applyBorder="1" applyAlignment="1">
      <alignment horizontal="center" vertical="center" shrinkToFit="1"/>
    </xf>
    <xf numFmtId="0" fontId="1" fillId="0" borderId="34" xfId="0" applyFont="1" applyBorder="1" applyAlignment="1">
      <alignment vertical="center"/>
    </xf>
    <xf numFmtId="0" fontId="9" fillId="0" borderId="46" xfId="0" applyFont="1" applyBorder="1" applyAlignment="1">
      <alignment horizontal="left" vertical="top" wrapText="1"/>
    </xf>
    <xf numFmtId="0" fontId="9" fillId="0" borderId="18" xfId="0" applyFont="1" applyBorder="1" applyAlignment="1">
      <alignment horizontal="left" vertical="top" wrapText="1"/>
    </xf>
    <xf numFmtId="0" fontId="1" fillId="0" borderId="36" xfId="0" applyFont="1" applyBorder="1" applyAlignment="1">
      <alignment vertical="center"/>
    </xf>
    <xf numFmtId="0" fontId="30" fillId="0" borderId="0" xfId="0" applyFont="1" applyAlignment="1">
      <alignment vertical="center"/>
    </xf>
    <xf numFmtId="0" fontId="4" fillId="0" borderId="48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9" fillId="0" borderId="32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28" fillId="0" borderId="35" xfId="0" applyFont="1" applyBorder="1" applyAlignment="1">
      <alignment vertical="center"/>
    </xf>
    <xf numFmtId="180" fontId="1" fillId="0" borderId="3" xfId="0" applyNumberFormat="1" applyFont="1" applyBorder="1" applyAlignment="1">
      <alignment vertical="center"/>
    </xf>
    <xf numFmtId="180" fontId="25" fillId="0" borderId="47" xfId="0" applyNumberFormat="1" applyFont="1" applyBorder="1" applyAlignment="1">
      <alignment vertical="center"/>
    </xf>
    <xf numFmtId="0" fontId="1" fillId="0" borderId="35" xfId="0" applyFont="1" applyBorder="1" applyAlignment="1">
      <alignment vertical="center"/>
    </xf>
    <xf numFmtId="180" fontId="1" fillId="0" borderId="33" xfId="0" applyNumberFormat="1" applyFont="1" applyBorder="1" applyAlignment="1">
      <alignment vertical="center"/>
    </xf>
    <xf numFmtId="0" fontId="29" fillId="0" borderId="50" xfId="0" applyFont="1" applyBorder="1" applyAlignment="1">
      <alignment vertical="center"/>
    </xf>
    <xf numFmtId="0" fontId="1" fillId="0" borderId="50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180" fontId="25" fillId="0" borderId="29" xfId="0" applyNumberFormat="1" applyFont="1" applyBorder="1" applyAlignment="1">
      <alignment vertical="center"/>
    </xf>
    <xf numFmtId="180" fontId="1" fillId="0" borderId="29" xfId="0" applyNumberFormat="1" applyFont="1" applyBorder="1" applyAlignment="1">
      <alignment vertical="center"/>
    </xf>
    <xf numFmtId="180" fontId="1" fillId="0" borderId="47" xfId="0" applyNumberFormat="1" applyFont="1" applyBorder="1" applyAlignment="1">
      <alignment vertical="center"/>
    </xf>
    <xf numFmtId="0" fontId="5" fillId="0" borderId="48" xfId="0" applyFont="1" applyBorder="1" applyAlignment="1">
      <alignment vertical="center"/>
    </xf>
    <xf numFmtId="0" fontId="15" fillId="0" borderId="36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22" fillId="0" borderId="47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31" fillId="0" borderId="29" xfId="0" applyFont="1" applyBorder="1" applyAlignment="1">
      <alignment vertical="center"/>
    </xf>
    <xf numFmtId="0" fontId="31" fillId="0" borderId="30" xfId="0" applyFont="1" applyBorder="1" applyAlignment="1">
      <alignment vertical="center"/>
    </xf>
  </cellXfs>
  <cellStyles count="1">
    <cellStyle name="標準" xfId="0" builtinId="0"/>
  </cellStyles>
  <dxfs count="7">
    <dxf>
      <fill>
        <patternFill>
          <bgColor rgb="FFFFF9E6"/>
        </patternFill>
      </fill>
    </dxf>
    <dxf>
      <font>
        <b/>
        <color rgb="FF2E75B6"/>
      </font>
      <alignment horizontal="right" vertical="center"/>
    </dxf>
    <dxf>
      <font>
        <b/>
        <color rgb="FFC65911"/>
      </font>
      <alignment horizontal="center" vertical="center"/>
    </dxf>
    <dxf>
      <font>
        <b/>
        <color rgb="FF006100"/>
      </font>
      <alignment horizontal="left" vertical="center"/>
    </dxf>
    <dxf>
      <fill>
        <patternFill>
          <bgColor rgb="FFFFF9E6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D5F5E3"/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6" zoomScale="50" zoomScaleNormal="85" workbookViewId="0">
      <selection activeCell="O4" sqref="O4"/>
    </sheetView>
  </sheetViews>
  <sheetFormatPr defaultColWidth="14.44140625" defaultRowHeight="14.4"/>
  <cols>
    <col min="1" max="1" width="9.77734375" style="1" customWidth="1"/>
    <col min="2" max="3" width="22.5546875" style="1" customWidth="1"/>
    <col min="4" max="10" width="28" customWidth="1"/>
    <col min="11" max="12" width="22.5546875" style="1" customWidth="1"/>
    <col min="13" max="13" width="9" style="1" customWidth="1"/>
    <col min="14" max="14" width="14" customWidth="1"/>
    <col min="15" max="15" width="10" customWidth="1"/>
    <col min="16" max="26" width="9" style="1" customWidth="1"/>
    <col min="27" max="27" width="14.44140625" style="1" customWidth="1"/>
    <col min="28" max="16384" width="14.44140625" style="1"/>
  </cols>
  <sheetData>
    <row r="1" spans="1:26" ht="27" customHeight="1">
      <c r="A1" s="2"/>
      <c r="B1" s="3"/>
      <c r="C1" s="4" t="s">
        <v>0</v>
      </c>
      <c r="D1" s="5"/>
      <c r="E1" s="5"/>
      <c r="F1" s="5"/>
      <c r="G1" s="2"/>
      <c r="H1" s="2"/>
      <c r="I1" s="2"/>
      <c r="J1" s="6"/>
      <c r="K1" s="85" t="s">
        <v>1</v>
      </c>
      <c r="L1" s="8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7" customHeight="1" thickBot="1">
      <c r="A2" s="2"/>
      <c r="B2" s="5"/>
      <c r="C2" s="7" t="s">
        <v>2</v>
      </c>
      <c r="D2" s="2"/>
      <c r="E2" s="5"/>
      <c r="F2" s="5"/>
      <c r="G2" s="6"/>
      <c r="H2" s="6"/>
      <c r="I2" s="6"/>
      <c r="J2" s="8" t="s">
        <v>3</v>
      </c>
      <c r="K2" s="5"/>
      <c r="L2" s="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7" customHeight="1" thickBot="1">
      <c r="A3" s="2"/>
      <c r="B3" s="9" t="s">
        <v>4</v>
      </c>
      <c r="C3" s="10" t="s">
        <v>5</v>
      </c>
      <c r="D3" s="11" t="s">
        <v>6</v>
      </c>
      <c r="E3" s="12"/>
      <c r="F3" s="13"/>
      <c r="G3" s="12"/>
      <c r="H3" s="12"/>
      <c r="I3" s="12"/>
      <c r="J3" s="13"/>
      <c r="K3" s="14"/>
      <c r="L3" s="15"/>
      <c r="M3" s="2"/>
      <c r="N3" s="116" t="s">
        <v>32</v>
      </c>
      <c r="O3" s="100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7" customHeight="1" thickBot="1">
      <c r="A4" s="2"/>
      <c r="B4" s="92"/>
      <c r="C4" s="16"/>
      <c r="D4" s="17" t="s">
        <v>7</v>
      </c>
      <c r="E4" s="18" t="s">
        <v>8</v>
      </c>
      <c r="F4" s="19" t="s">
        <v>9</v>
      </c>
      <c r="G4" s="18" t="s">
        <v>10</v>
      </c>
      <c r="H4" s="20" t="s">
        <v>11</v>
      </c>
      <c r="I4" s="18" t="s">
        <v>12</v>
      </c>
      <c r="J4" s="21" t="s">
        <v>13</v>
      </c>
      <c r="K4" s="22" t="s">
        <v>14</v>
      </c>
      <c r="L4" s="23" t="s">
        <v>15</v>
      </c>
      <c r="M4" s="2"/>
      <c r="N4" s="121" t="s">
        <v>33</v>
      </c>
      <c r="O4" s="122" t="s">
        <v>34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 customHeight="1" thickBot="1">
      <c r="A5" s="93">
        <v>1</v>
      </c>
      <c r="B5" s="95"/>
      <c r="C5" s="24"/>
      <c r="D5" s="25"/>
      <c r="E5" s="81"/>
      <c r="F5" s="82"/>
      <c r="G5" s="26"/>
      <c r="H5" s="27"/>
      <c r="I5" s="28"/>
      <c r="J5" s="25">
        <f t="shared" ref="J5:J22" si="0">ROUNDDOWN(D5-E5-F5-G5-H5-I5,0)</f>
        <v>0</v>
      </c>
      <c r="K5" s="29"/>
      <c r="L5" s="30" t="e">
        <f t="shared" ref="L5:L22" si="1">J5/D5</f>
        <v>#DIV/0!</v>
      </c>
      <c r="M5" s="2"/>
      <c r="N5" s="120" t="s">
        <v>16</v>
      </c>
      <c r="O5" s="104">
        <f>COUNTIF(K5:K23,N5)</f>
        <v>0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 customHeight="1" thickBot="1">
      <c r="A6" s="93">
        <v>2</v>
      </c>
      <c r="B6" s="94"/>
      <c r="C6" s="31"/>
      <c r="D6" s="25"/>
      <c r="E6" s="32"/>
      <c r="F6" s="33"/>
      <c r="G6" s="26"/>
      <c r="H6" s="27"/>
      <c r="I6" s="28"/>
      <c r="J6" s="25">
        <f t="shared" si="0"/>
        <v>0</v>
      </c>
      <c r="K6" s="29"/>
      <c r="L6" s="30" t="e">
        <f t="shared" si="1"/>
        <v>#DIV/0!</v>
      </c>
      <c r="M6" s="2"/>
      <c r="N6" s="120" t="s">
        <v>17</v>
      </c>
      <c r="O6" s="104">
        <f>COUNTIF(K5:K23,N6)</f>
        <v>0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 customHeight="1" thickBot="1">
      <c r="A7" s="2">
        <v>3</v>
      </c>
      <c r="B7" s="34"/>
      <c r="C7" s="31"/>
      <c r="D7" s="25"/>
      <c r="E7" s="32"/>
      <c r="F7" s="33"/>
      <c r="G7" s="26"/>
      <c r="H7" s="27"/>
      <c r="I7" s="28"/>
      <c r="J7" s="25">
        <f t="shared" si="0"/>
        <v>0</v>
      </c>
      <c r="K7" s="35"/>
      <c r="L7" s="30" t="e">
        <f t="shared" si="1"/>
        <v>#DIV/0!</v>
      </c>
      <c r="M7" s="2"/>
      <c r="N7" s="118" t="s">
        <v>18</v>
      </c>
      <c r="O7" s="93">
        <f>COUNTIF(K5:K23,N7)</f>
        <v>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 customHeight="1" thickBot="1">
      <c r="A8" s="2">
        <v>4</v>
      </c>
      <c r="B8" s="34"/>
      <c r="C8" s="36"/>
      <c r="D8" s="25"/>
      <c r="E8" s="32"/>
      <c r="F8" s="33"/>
      <c r="G8" s="26"/>
      <c r="H8" s="27"/>
      <c r="I8" s="28"/>
      <c r="J8" s="25">
        <f t="shared" si="0"/>
        <v>0</v>
      </c>
      <c r="K8" s="29"/>
      <c r="L8" s="30" t="e">
        <f t="shared" si="1"/>
        <v>#DIV/0!</v>
      </c>
      <c r="M8" s="2"/>
      <c r="N8" s="120" t="s">
        <v>19</v>
      </c>
      <c r="O8" s="104">
        <f>COUNTBLANK(K5:K23)-COUNTBLANK(B5:B23)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 customHeight="1" thickBot="1">
      <c r="A9" s="2">
        <v>5</v>
      </c>
      <c r="B9" s="34"/>
      <c r="C9" s="31"/>
      <c r="D9" s="25"/>
      <c r="E9" s="32"/>
      <c r="F9" s="33"/>
      <c r="G9" s="26"/>
      <c r="H9" s="27"/>
      <c r="I9" s="28"/>
      <c r="J9" s="25">
        <f t="shared" si="0"/>
        <v>0</v>
      </c>
      <c r="K9" s="37"/>
      <c r="L9" s="30" t="e">
        <f t="shared" si="1"/>
        <v>#DIV/0!</v>
      </c>
      <c r="M9" s="38"/>
      <c r="N9" s="119" t="s">
        <v>20</v>
      </c>
      <c r="O9" s="117">
        <f>SUM(O5:O8)</f>
        <v>0</v>
      </c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27" customHeight="1">
      <c r="A10" s="2">
        <v>6</v>
      </c>
      <c r="B10" s="34"/>
      <c r="C10" s="31"/>
      <c r="D10" s="25"/>
      <c r="E10" s="32"/>
      <c r="F10" s="33"/>
      <c r="G10" s="26"/>
      <c r="H10" s="27"/>
      <c r="I10" s="28"/>
      <c r="J10" s="25">
        <f t="shared" si="0"/>
        <v>0</v>
      </c>
      <c r="K10" s="29"/>
      <c r="L10" s="30" t="e">
        <f t="shared" si="1"/>
        <v>#DIV/0!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 customHeight="1">
      <c r="A11" s="2">
        <v>7</v>
      </c>
      <c r="B11" s="34"/>
      <c r="C11" s="31"/>
      <c r="D11" s="25"/>
      <c r="E11" s="32"/>
      <c r="F11" s="33"/>
      <c r="G11" s="26"/>
      <c r="H11" s="27"/>
      <c r="I11" s="28"/>
      <c r="J11" s="25">
        <f t="shared" si="0"/>
        <v>0</v>
      </c>
      <c r="K11" s="35"/>
      <c r="L11" s="30" t="e">
        <f t="shared" si="1"/>
        <v>#DIV/0!</v>
      </c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27" customHeight="1">
      <c r="A12" s="2">
        <v>8</v>
      </c>
      <c r="B12" s="34"/>
      <c r="C12" s="31"/>
      <c r="D12" s="25"/>
      <c r="E12" s="32"/>
      <c r="F12" s="33"/>
      <c r="G12" s="26"/>
      <c r="H12" s="27"/>
      <c r="I12" s="28"/>
      <c r="J12" s="25">
        <f t="shared" si="0"/>
        <v>0</v>
      </c>
      <c r="K12" s="37"/>
      <c r="L12" s="30" t="e">
        <f t="shared" si="1"/>
        <v>#DIV/0!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7" customHeight="1">
      <c r="A13" s="2">
        <v>9</v>
      </c>
      <c r="B13" s="34"/>
      <c r="C13" s="31"/>
      <c r="D13" s="25"/>
      <c r="E13" s="32"/>
      <c r="F13" s="33"/>
      <c r="G13" s="26"/>
      <c r="H13" s="27"/>
      <c r="I13" s="28"/>
      <c r="J13" s="25">
        <f t="shared" si="0"/>
        <v>0</v>
      </c>
      <c r="K13" s="35"/>
      <c r="L13" s="30" t="e">
        <f t="shared" si="1"/>
        <v>#DIV/0!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" customHeight="1">
      <c r="A14" s="2">
        <v>10</v>
      </c>
      <c r="B14" s="34"/>
      <c r="C14" s="31"/>
      <c r="D14" s="25"/>
      <c r="E14" s="32"/>
      <c r="F14" s="33"/>
      <c r="G14" s="26"/>
      <c r="H14" s="27"/>
      <c r="I14" s="28"/>
      <c r="J14" s="25">
        <f t="shared" si="0"/>
        <v>0</v>
      </c>
      <c r="K14" s="35"/>
      <c r="L14" s="30" t="e">
        <f t="shared" si="1"/>
        <v>#DIV/0!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7" customHeight="1">
      <c r="A15" s="2">
        <v>11</v>
      </c>
      <c r="B15" s="34"/>
      <c r="C15" s="31"/>
      <c r="D15" s="25"/>
      <c r="E15" s="32"/>
      <c r="F15" s="33"/>
      <c r="G15" s="26"/>
      <c r="H15" s="27"/>
      <c r="I15" s="28"/>
      <c r="J15" s="25">
        <f t="shared" si="0"/>
        <v>0</v>
      </c>
      <c r="K15" s="37"/>
      <c r="L15" s="30" t="e">
        <f t="shared" si="1"/>
        <v>#DIV/0!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7" customHeight="1">
      <c r="A16" s="2">
        <v>12</v>
      </c>
      <c r="B16" s="34"/>
      <c r="C16" s="31"/>
      <c r="D16" s="25"/>
      <c r="E16" s="32"/>
      <c r="F16" s="33"/>
      <c r="G16" s="26"/>
      <c r="H16" s="27"/>
      <c r="I16" s="28"/>
      <c r="J16" s="25">
        <f t="shared" si="0"/>
        <v>0</v>
      </c>
      <c r="K16" s="29"/>
      <c r="L16" s="30" t="e">
        <f t="shared" si="1"/>
        <v>#DIV/0!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7" customHeight="1">
      <c r="A17" s="2">
        <v>13</v>
      </c>
      <c r="B17" s="34"/>
      <c r="C17" s="31"/>
      <c r="D17" s="25"/>
      <c r="E17" s="32"/>
      <c r="F17" s="33"/>
      <c r="G17" s="26"/>
      <c r="H17" s="27"/>
      <c r="I17" s="28"/>
      <c r="J17" s="25">
        <f t="shared" si="0"/>
        <v>0</v>
      </c>
      <c r="K17" s="37"/>
      <c r="L17" s="30" t="e">
        <f t="shared" si="1"/>
        <v>#DIV/0!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>
      <c r="A18" s="2">
        <v>14</v>
      </c>
      <c r="B18" s="34"/>
      <c r="C18" s="31"/>
      <c r="D18" s="25"/>
      <c r="E18" s="32"/>
      <c r="F18" s="33"/>
      <c r="G18" s="26"/>
      <c r="H18" s="27"/>
      <c r="I18" s="28"/>
      <c r="J18" s="25">
        <f t="shared" si="0"/>
        <v>0</v>
      </c>
      <c r="K18" s="37"/>
      <c r="L18" s="30" t="e">
        <f t="shared" si="1"/>
        <v>#DIV/0!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>
      <c r="A19" s="2">
        <v>15</v>
      </c>
      <c r="B19" s="34"/>
      <c r="C19" s="31"/>
      <c r="D19" s="25"/>
      <c r="E19" s="32"/>
      <c r="F19" s="33"/>
      <c r="G19" s="26"/>
      <c r="H19" s="27"/>
      <c r="I19" s="28"/>
      <c r="J19" s="25">
        <f t="shared" si="0"/>
        <v>0</v>
      </c>
      <c r="K19" s="29"/>
      <c r="L19" s="30" t="e">
        <f t="shared" si="1"/>
        <v>#DIV/0!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>
      <c r="A20" s="2">
        <v>16</v>
      </c>
      <c r="B20" s="34"/>
      <c r="C20" s="31"/>
      <c r="D20" s="25"/>
      <c r="E20" s="32"/>
      <c r="F20" s="33"/>
      <c r="G20" s="26"/>
      <c r="H20" s="27"/>
      <c r="I20" s="28"/>
      <c r="J20" s="25">
        <f t="shared" si="0"/>
        <v>0</v>
      </c>
      <c r="K20" s="29"/>
      <c r="L20" s="30" t="e">
        <f t="shared" si="1"/>
        <v>#DIV/0!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>
      <c r="A21" s="2">
        <v>17</v>
      </c>
      <c r="B21" s="34"/>
      <c r="C21" s="31"/>
      <c r="D21" s="25"/>
      <c r="E21" s="32"/>
      <c r="F21" s="33"/>
      <c r="G21" s="26"/>
      <c r="H21" s="27"/>
      <c r="I21" s="28"/>
      <c r="J21" s="25">
        <f t="shared" si="0"/>
        <v>0</v>
      </c>
      <c r="K21" s="29"/>
      <c r="L21" s="30" t="e">
        <f t="shared" si="1"/>
        <v>#DIV/0!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>
      <c r="A22" s="2">
        <v>18</v>
      </c>
      <c r="B22" s="34"/>
      <c r="C22" s="31"/>
      <c r="D22" s="25"/>
      <c r="E22" s="32"/>
      <c r="F22" s="33"/>
      <c r="G22" s="26"/>
      <c r="H22" s="27"/>
      <c r="I22" s="28"/>
      <c r="J22" s="25">
        <f t="shared" si="0"/>
        <v>0</v>
      </c>
      <c r="K22" s="29"/>
      <c r="L22" s="30" t="e">
        <f t="shared" si="1"/>
        <v>#DIV/0!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>
      <c r="A23" s="2"/>
      <c r="B23" s="39"/>
      <c r="C23" s="40"/>
      <c r="D23" s="41"/>
      <c r="E23" s="42"/>
      <c r="F23" s="43"/>
      <c r="G23" s="44"/>
      <c r="H23" s="45"/>
      <c r="I23" s="46"/>
      <c r="J23" s="41"/>
      <c r="K23" s="47"/>
      <c r="L23" s="8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7" customHeight="1">
      <c r="A24" s="2"/>
      <c r="B24" s="48"/>
      <c r="C24" s="49"/>
      <c r="D24" s="49">
        <f t="shared" ref="D24:I24" si="2">SUM(D5:D23)</f>
        <v>0</v>
      </c>
      <c r="E24" s="50">
        <f t="shared" si="2"/>
        <v>0</v>
      </c>
      <c r="F24" s="51">
        <f t="shared" si="2"/>
        <v>0</v>
      </c>
      <c r="G24" s="50">
        <f t="shared" si="2"/>
        <v>0</v>
      </c>
      <c r="H24" s="50">
        <f t="shared" si="2"/>
        <v>0</v>
      </c>
      <c r="I24" s="50">
        <f t="shared" si="2"/>
        <v>0</v>
      </c>
      <c r="J24" s="52">
        <f>ROUNDDOWN(J5+J6+J7+J8+J9+J10+J11+J12+J13+J14+J15+J16+J17+J18+J19+J20+J21+J22,0)</f>
        <v>0</v>
      </c>
      <c r="K24" s="53"/>
      <c r="L24" s="54" t="e">
        <f>J24/D24</f>
        <v>#DIV/0!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7" customHeight="1">
      <c r="A25" s="2"/>
      <c r="B25" s="2"/>
      <c r="C25" s="83" t="s">
        <v>21</v>
      </c>
      <c r="D25" s="84"/>
      <c r="E25" s="87" t="s">
        <v>22</v>
      </c>
      <c r="F25" s="84"/>
      <c r="G25" s="84"/>
      <c r="H25" s="84"/>
      <c r="I25" s="55">
        <f>SUM(E5:I23)</f>
        <v>0</v>
      </c>
      <c r="J25" s="56" t="s">
        <v>23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4.75" customHeight="1">
      <c r="A26" s="2"/>
      <c r="B26" s="2"/>
      <c r="C26" s="57"/>
      <c r="D26" s="57"/>
      <c r="E26" s="88">
        <f>SUM(E24:F24)</f>
        <v>0</v>
      </c>
      <c r="F26" s="89"/>
      <c r="G26" s="58"/>
      <c r="H26" s="58"/>
      <c r="I26" s="59"/>
      <c r="J26" s="60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4.75" customHeight="1">
      <c r="A27" s="2"/>
      <c r="B27" s="2"/>
      <c r="C27" s="57"/>
      <c r="D27" s="57"/>
      <c r="E27" s="90"/>
      <c r="F27" s="91"/>
      <c r="G27" s="61"/>
      <c r="H27" s="58"/>
      <c r="I27" s="59"/>
      <c r="J27" s="60"/>
      <c r="K27" s="62"/>
      <c r="L27" s="6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7" customHeight="1">
      <c r="A28" s="2"/>
      <c r="B28" s="2"/>
      <c r="C28" s="63"/>
      <c r="D28" s="2"/>
      <c r="E28" s="2"/>
      <c r="F28" s="2"/>
      <c r="G28" s="2"/>
      <c r="H28" s="2"/>
      <c r="I28" s="2"/>
      <c r="J28" s="63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7" customHeight="1">
      <c r="A29" s="2"/>
      <c r="B29" s="79"/>
      <c r="C29" s="70"/>
      <c r="D29" s="70"/>
      <c r="E29" s="70"/>
      <c r="F29" s="70"/>
      <c r="G29" s="70"/>
      <c r="H29" s="70"/>
      <c r="I29" s="70"/>
      <c r="J29" s="71"/>
      <c r="K29" s="64" t="s">
        <v>16</v>
      </c>
      <c r="L29" s="65">
        <f>SUMIF(K5:K23,K29,J5:J23)</f>
        <v>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7" customHeight="1">
      <c r="A30" s="2"/>
      <c r="B30" s="72"/>
      <c r="J30" s="73"/>
      <c r="K30" s="66" t="s">
        <v>17</v>
      </c>
      <c r="L30" s="65">
        <f>SUMIF(K5:K23,K30,J5:J23)</f>
        <v>0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7" customHeight="1">
      <c r="A31" s="2"/>
      <c r="B31" s="72"/>
      <c r="J31" s="73"/>
      <c r="K31" s="67" t="s">
        <v>18</v>
      </c>
      <c r="L31" s="65">
        <f>SUMIF(K5:K23,K31,J5:J23)</f>
        <v>0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7" customHeight="1">
      <c r="A32" s="2"/>
      <c r="B32" s="72"/>
      <c r="J32" s="73"/>
      <c r="K32" s="68">
        <v>0</v>
      </c>
      <c r="L32" s="65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7" customHeight="1">
      <c r="A33" s="2"/>
      <c r="B33" s="72"/>
      <c r="J33" s="73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7" customHeight="1">
      <c r="A34" s="2"/>
      <c r="B34" s="74"/>
      <c r="J34" s="73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7" customHeight="1" thickBot="1">
      <c r="A35" s="2"/>
      <c r="B35" s="75"/>
      <c r="C35" s="76"/>
      <c r="D35" s="77"/>
      <c r="E35" s="76"/>
      <c r="F35" s="76"/>
      <c r="G35" s="76"/>
      <c r="H35" s="76"/>
      <c r="I35" s="76"/>
      <c r="J35" s="78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7" customHeight="1" thickBot="1">
      <c r="A36" s="2"/>
      <c r="B36" s="62"/>
      <c r="C36" s="2"/>
      <c r="D36" s="69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7" customHeight="1" thickBot="1">
      <c r="A37" s="2"/>
      <c r="B37" s="98" t="s">
        <v>24</v>
      </c>
      <c r="C37" s="99"/>
      <c r="D37" s="109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7" customHeight="1" thickBot="1">
      <c r="A38" s="2"/>
      <c r="B38" s="110" t="s">
        <v>31</v>
      </c>
      <c r="C38" s="104"/>
      <c r="D38" s="114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7" customHeight="1" thickBot="1">
      <c r="A39" s="2"/>
      <c r="B39" s="101" t="s">
        <v>25</v>
      </c>
      <c r="C39" s="96"/>
      <c r="D39" s="106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7" customHeight="1" thickBot="1">
      <c r="A40" s="2"/>
      <c r="B40" s="112" t="s">
        <v>26</v>
      </c>
      <c r="C40" s="103"/>
      <c r="D40" s="113">
        <f>D38-D39</f>
        <v>0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7" customHeight="1" thickBot="1">
      <c r="A41" s="2"/>
      <c r="B41" s="111" t="s">
        <v>27</v>
      </c>
      <c r="C41" s="103"/>
      <c r="D41" s="114">
        <f>ROUND(D40/1.1,0)</f>
        <v>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7" customHeight="1" thickBot="1">
      <c r="A42" s="2"/>
      <c r="B42" s="108" t="s">
        <v>28</v>
      </c>
      <c r="C42" s="102"/>
      <c r="D42" s="115">
        <f>J24</f>
        <v>0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7" customHeight="1" thickBot="1">
      <c r="A43" s="2"/>
      <c r="B43" s="105" t="s">
        <v>29</v>
      </c>
      <c r="C43" s="102"/>
      <c r="D43" s="107">
        <f>D42-D41</f>
        <v>0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7" customHeight="1">
      <c r="A44" s="2"/>
      <c r="B44" s="97" t="s">
        <v>30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7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7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7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7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7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7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7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7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7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7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7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7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7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7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7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7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7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7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7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7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7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7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7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7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7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7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7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7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7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7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7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7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7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7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7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7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7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7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7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7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7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7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7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7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7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7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7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7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7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7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7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7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7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7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7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7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7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7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7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7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7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7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7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7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7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7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7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7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7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7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7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1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1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1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1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1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1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1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1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1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1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1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1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1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1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1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1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1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1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1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1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1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1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1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1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1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1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1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1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1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1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1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1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1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1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1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1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1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1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1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1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1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1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1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1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1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1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1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1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1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1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1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1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1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1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1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1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1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1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1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1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1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1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1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1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1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1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1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1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1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1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1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1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1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1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1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1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1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1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1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1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1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1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1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1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1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1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1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1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1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1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1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1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1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1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1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1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1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1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1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1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1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1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1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1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1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1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1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1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1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1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1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1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1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1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1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1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1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1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1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1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1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1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1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1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1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1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1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1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1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1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1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1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1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1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1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1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1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1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1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1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1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1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1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1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1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1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1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1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1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1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1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1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1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1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1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1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1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1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1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1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1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1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1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1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1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1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1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1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1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1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1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1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1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1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1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1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1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1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1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1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1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1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1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1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1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1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1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1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1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1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1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1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1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1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1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1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1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1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1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1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1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1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1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1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1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1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1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1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1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1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1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1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1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1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1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1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1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1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1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1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1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1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1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1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1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1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1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1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1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1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1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1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1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1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1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1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1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1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1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1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1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1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1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1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1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1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1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1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1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1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1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1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1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1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1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1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1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1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1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1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1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1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1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1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1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1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1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1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1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1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1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1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1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1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1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1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1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1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1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1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1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1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1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1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1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1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1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1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1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1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1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1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1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1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1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1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1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1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1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1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1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1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1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1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1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1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1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1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1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1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1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1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1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1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1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1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1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1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1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1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1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1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1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1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1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1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1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1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1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1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1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1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1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1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1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1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1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1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1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1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1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1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1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1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1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1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1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1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1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1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1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1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1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1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1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1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1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1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1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1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1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1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1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1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1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1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1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1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1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1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1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1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1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1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1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1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1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1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1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1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1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1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1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1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1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1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1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1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1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1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1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1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1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1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1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1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1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1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1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1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1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1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1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1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1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1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1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1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1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1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1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1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1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1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1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1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1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1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1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1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1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1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1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1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1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1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1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1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1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1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1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1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1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1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1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1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1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1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1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1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1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1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1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1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1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1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1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1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1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1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1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1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1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1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1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1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1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1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1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1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1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1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1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1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1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1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1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1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1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1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1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1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1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1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1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1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1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1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1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1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1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1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1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1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1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1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1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1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1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1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1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1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1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1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1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1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1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1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1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1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1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1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1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1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1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1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1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1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1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1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1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1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1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1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1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1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1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1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1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1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1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1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1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1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1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1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1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1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1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1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1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1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1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1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1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1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1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1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1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1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1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1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1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1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1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1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1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1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1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1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1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1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1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1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1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1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1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1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1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1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1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1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1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1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1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1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1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1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1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1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1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1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1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1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1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1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1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1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1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1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1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1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1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1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1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1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1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1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1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1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1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1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1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1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1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1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1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1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1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1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1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1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1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1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1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1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1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1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1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1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1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1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1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1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1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1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1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1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1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1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1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1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1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1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1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1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1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1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1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1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1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1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1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1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1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1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1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1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1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1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1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1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1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1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1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1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1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1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1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1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1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1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1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1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1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1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1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1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1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1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1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1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1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1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1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1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1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1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1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1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1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1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1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1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1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1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1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1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1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1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1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1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1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1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1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1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1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1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1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1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1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1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1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1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1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1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1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1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1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1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1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1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1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1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1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1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1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1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1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1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1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1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1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1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1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1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1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1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1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1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1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1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1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1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1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1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1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1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1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1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1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1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1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1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1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1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1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1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1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1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1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1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1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1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1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1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1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1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1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1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1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1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1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1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1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1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1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1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1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1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1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1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1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1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1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1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1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1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1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1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1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1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1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1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1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1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1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1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1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1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1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1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1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1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1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1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1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1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1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1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1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1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1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1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1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1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1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1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1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1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1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1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1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1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1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1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1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1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1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1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1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1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1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1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1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1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1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1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1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1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1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1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1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1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1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1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1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1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1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4">
    <mergeCell ref="C25:D25"/>
    <mergeCell ref="K1:L1"/>
    <mergeCell ref="E25:H25"/>
    <mergeCell ref="E26:F27"/>
  </mergeCells>
  <phoneticPr fontId="27"/>
  <conditionalFormatting sqref="D43">
    <cfRule type="expression" dxfId="6" priority="6">
      <formula>AND(ABS(D43)&lt;=10,D43&lt;&gt;"")</formula>
    </cfRule>
    <cfRule type="expression" dxfId="5" priority="10">
      <formula>ABS(D43)&gt;10</formula>
    </cfRule>
  </conditionalFormatting>
  <conditionalFormatting sqref="K5:K23">
    <cfRule type="expression" dxfId="4" priority="4">
      <formula>AND(K5="",B5&lt;&gt;"")</formula>
    </cfRule>
    <cfRule type="cellIs" dxfId="3" priority="7" operator="equal">
      <formula>"山本"</formula>
    </cfRule>
    <cfRule type="cellIs" dxfId="2" priority="8" operator="equal">
      <formula>"熱田"</formula>
    </cfRule>
    <cfRule type="cellIs" dxfId="1" priority="9" operator="equal">
      <formula>"安保"</formula>
    </cfRule>
  </conditionalFormatting>
  <conditionalFormatting sqref="O8">
    <cfRule type="cellIs" dxfId="0" priority="5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0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テンプレート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山本　悠菜</dc:creator>
  <cp:lastModifiedBy>伊藤　陸</cp:lastModifiedBy>
  <cp:revision>0</cp:revision>
  <cp:lastPrinted>2026-04-19T09:57:29Z</cp:lastPrinted>
  <dcterms:created xsi:type="dcterms:W3CDTF">2026-04-19T08:14:16Z</dcterms:created>
  <dcterms:modified xsi:type="dcterms:W3CDTF">2026-04-24T09:55:06Z</dcterms:modified>
  <dc:language>en-US</dc:language>
</cp:coreProperties>
</file>