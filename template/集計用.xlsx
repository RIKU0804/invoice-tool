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</numFmts>
  <fonts count="35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4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9" customWidth="1" style="91" min="13" max="26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34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3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3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3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3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3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3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3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149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inlineStr">
        <is>
          <t>差額</t>
        </is>
      </c>
      <c r="L27" s="170" t="inlineStr">
        <is>
          <t>※インボイス端数差</t>
        </is>
      </c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172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78" t="inlineStr">
        <is>
          <t>【振込金額照合（税抜⇔税込の二重計算）】</t>
        </is>
      </c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83" t="inlineStr">
        <is>
          <t>① 振込金額（税込・実際に振り込まれた額）</t>
        </is>
      </c>
      <c r="D35" s="184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inlineStr">
        <is>
          <t>② 税込相殺（PDF・手入力）</t>
        </is>
      </c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70" t="inlineStr">
        <is>
          <t>③ 税込工事代計（① − ②）</t>
        </is>
      </c>
      <c r="C37" s="93" t="n"/>
      <c r="D37" s="181">
        <f>D35-D36</f>
        <v/>
      </c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④ 税抜逆算（③ ÷ 1.1）</t>
        </is>
      </c>
      <c r="C38" s="93" t="n"/>
      <c r="D38" s="181">
        <f>ROUND(D37/1.1,0)</f>
        <v/>
      </c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⑤ Excel税抜合計（J24）</t>
        </is>
      </c>
      <c r="C39" s="93" t="n"/>
      <c r="D39" s="181">
        <f>J24</f>
        <v/>
      </c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⑥ 差額（⑤ − ④）</t>
        </is>
      </c>
      <c r="C40" s="93" t="n"/>
      <c r="D40" s="186">
        <f>D39-D38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※ ±数円→インボイス端数差(正常) / 大きな差→PDF読取エラーの可能性</t>
        </is>
      </c>
      <c r="C41" s="93" t="n"/>
      <c r="D41" s="93" t="n"/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n"/>
      <c r="C42" s="93" t="n"/>
      <c r="D42" s="93" t="n"/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C25:D25"/>
    <mergeCell ref="K1:L1"/>
    <mergeCell ref="E25:H25"/>
    <mergeCell ref="E26:F27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山本　悠菜</dc:creator>
  <dc:language xmlns:dc="http://purl.org/dc/elements/1.1/">en-US</dc:language>
  <dcterms:created xmlns:dcterms="http://purl.org/dc/terms/" xmlns:xsi="http://www.w3.org/2001/XMLSchema-instance" xsi:type="dcterms:W3CDTF">2026-04-19T08:14:16Z</dcterms:created>
  <dcterms:modified xmlns:dcterms="http://purl.org/dc/terms/" xmlns:xsi="http://www.w3.org/2001/XMLSchema-instance" xsi:type="dcterms:W3CDTF">2026-04-23T08:11:16Z</dcterms:modified>
  <cp:lastModifiedBy>山本　悠菜</cp:lastModifiedBy>
  <cp:revision>0</cp:revision>
  <cp:lastPrinted>2026-04-19T09:57:29Z</cp:lastPrinted>
</cp:coreProperties>
</file>